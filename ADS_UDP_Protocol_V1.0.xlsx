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D2EB66F1-E2A3-4059-97B8-15FD6AA28FA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ADS CAR_VRU SOP1_V1.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3" i="2" l="1"/>
  <c r="J4" i="2" l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</calcChain>
</file>

<file path=xl/sharedStrings.xml><?xml version="1.0" encoding="utf-8"?>
<sst xmlns="http://schemas.openxmlformats.org/spreadsheetml/2006/main" count="327" uniqueCount="177">
  <si>
    <t>Data Package</t>
    <phoneticPr fontId="1" type="noConversion"/>
  </si>
  <si>
    <t>Description</t>
    <phoneticPr fontId="1" type="noConversion"/>
  </si>
  <si>
    <t>Unit</t>
    <phoneticPr fontId="1" type="noConversion"/>
  </si>
  <si>
    <t>Factor</t>
    <phoneticPr fontId="1" type="noConversion"/>
  </si>
  <si>
    <t>Size/Byte</t>
    <phoneticPr fontId="1" type="noConversion"/>
  </si>
  <si>
    <t>Offset</t>
    <phoneticPr fontId="1" type="noConversion"/>
  </si>
  <si>
    <t>UDP header</t>
    <phoneticPr fontId="1" type="noConversion"/>
  </si>
  <si>
    <t>Format</t>
    <phoneticPr fontId="1" type="noConversion"/>
  </si>
  <si>
    <t>uint32</t>
    <phoneticPr fontId="1" type="noConversion"/>
  </si>
  <si>
    <t>s</t>
    <phoneticPr fontId="1" type="noConversion"/>
  </si>
  <si>
    <t>°</t>
    <phoneticPr fontId="1" type="noConversion"/>
  </si>
  <si>
    <t>km/h</t>
    <phoneticPr fontId="1" type="noConversion"/>
  </si>
  <si>
    <t>V</t>
    <phoneticPr fontId="1" type="noConversion"/>
  </si>
  <si>
    <t>℃</t>
    <phoneticPr fontId="1" type="noConversion"/>
  </si>
  <si>
    <t>uint16</t>
    <phoneticPr fontId="1" type="noConversion"/>
  </si>
  <si>
    <t>uint8</t>
    <phoneticPr fontId="1" type="noConversion"/>
  </si>
  <si>
    <t>deg</t>
    <phoneticPr fontId="1" type="noConversion"/>
  </si>
  <si>
    <t>%</t>
    <phoneticPr fontId="1" type="noConversion"/>
  </si>
  <si>
    <t>Motor2 temperature</t>
    <phoneticPr fontId="1" type="noConversion"/>
  </si>
  <si>
    <t>UDP Pack 
offset/Byte</t>
    <phoneticPr fontId="1" type="noConversion"/>
  </si>
  <si>
    <t>total byte</t>
    <phoneticPr fontId="1" type="noConversion"/>
  </si>
  <si>
    <t>int32</t>
    <phoneticPr fontId="1" type="noConversion"/>
  </si>
  <si>
    <t>0xF0</t>
    <phoneticPr fontId="1" type="noConversion"/>
  </si>
  <si>
    <t>m/s²</t>
    <phoneticPr fontId="1" type="noConversion"/>
  </si>
  <si>
    <t>int16</t>
    <phoneticPr fontId="1" type="noConversion"/>
  </si>
  <si>
    <t>deg/s</t>
    <phoneticPr fontId="1" type="noConversion"/>
  </si>
  <si>
    <t>A</t>
    <phoneticPr fontId="1" type="noConversion"/>
  </si>
  <si>
    <t>No.</t>
    <phoneticPr fontId="1" type="noConversion"/>
  </si>
  <si>
    <t>MTemp2</t>
  </si>
  <si>
    <t>SR_SW2</t>
  </si>
  <si>
    <t>SR_SW3</t>
  </si>
  <si>
    <t>m</t>
    <phoneticPr fontId="1" type="noConversion"/>
  </si>
  <si>
    <t>Test State
From bit0 to bit7
bit0--Initial condition Ready: 1-OK, 0-N.OK
bit1--Scenario Ready: 1-OK, 0-N.OK
bit2--Scenario Execution: 1-Executing, 0-N.Executing
bit3--Test end: 1-End, 0-N.End
bit4--Reserved
bit5--Reserved
bit6--Reserved
bit7--Reserved</t>
    <phoneticPr fontId="1" type="noConversion"/>
  </si>
  <si>
    <t>deg</t>
    <phoneticPr fontId="1" type="noConversion"/>
  </si>
  <si>
    <t>int16</t>
    <phoneticPr fontId="1" type="noConversion"/>
  </si>
  <si>
    <t>platform</t>
    <phoneticPr fontId="1" type="noConversion"/>
  </si>
  <si>
    <t>Bat_State2</t>
  </si>
  <si>
    <t>Bat_State3</t>
  </si>
  <si>
    <t>Battery state, battery2</t>
  </si>
  <si>
    <t>ADS VRU A/S/X 
ADS CAR A/S/X</t>
    <phoneticPr fontId="1" type="noConversion"/>
  </si>
  <si>
    <t>ADS VRU A/S/X  
ADS CAR A/S/X</t>
    <phoneticPr fontId="1" type="noConversion"/>
  </si>
  <si>
    <t>ADS VRU A/S/X  
ADS CAR A/S/X</t>
    <phoneticPr fontId="1" type="noConversion"/>
  </si>
  <si>
    <t>ADS VRU A/S/X  
ADS CAR A/S/X</t>
    <phoneticPr fontId="1" type="noConversion"/>
  </si>
  <si>
    <t>ADS VRU A/S/X  
ADS CAR A/S/X</t>
    <phoneticPr fontId="1" type="noConversion"/>
  </si>
  <si>
    <t>ADS CAR X</t>
    <phoneticPr fontId="1" type="noConversion"/>
  </si>
  <si>
    <t>ADS CAR X</t>
    <phoneticPr fontId="1" type="noConversion"/>
  </si>
  <si>
    <t>Communication counter 0-255</t>
    <phoneticPr fontId="1" type="noConversion"/>
  </si>
  <si>
    <t>ADS VRU A
ADS CAR A/S/X</t>
    <phoneticPr fontId="1" type="noConversion"/>
  </si>
  <si>
    <t>ADS VRU A
ADS CAR A/S/X</t>
    <phoneticPr fontId="1" type="noConversion"/>
  </si>
  <si>
    <r>
      <rPr>
        <b/>
        <sz val="11"/>
        <rFont val="等线"/>
        <family val="3"/>
        <charset val="134"/>
        <scheme val="minor"/>
      </rPr>
      <t>SR1-4 status word：</t>
    </r>
    <r>
      <rPr>
        <sz val="11"/>
        <rFont val="等线"/>
        <family val="3"/>
        <charset val="134"/>
        <scheme val="minor"/>
      </rPr>
      <t xml:space="preserve">
bit0: 0 not Ready to switch on, 1 Ready to Switch on
bit1: 0 Switch off, 1 Switch on
bit2: 0 unable, 1 Enable
bit3: 0 Status OK, 1 Status error
bit4: 0 not Operating, 1 Voltage enabled
bit5: 0 Running, 1 Quick stop
bit6: 0 Running, 1 Switch on disabled
bit7: 0 Running, 1 Warning
bit8: (reserved)
bit9: 0 Stop, 1 Runing
bit10: 0 Approach target speed, 1 Target speed reached
bit11: Internal limit active
bit12:  (reserved)
bit13:  (reserved)
bit14:  (reserved)
bit15:  (reserved)</t>
    </r>
    <phoneticPr fontId="1" type="noConversion"/>
  </si>
  <si>
    <t>Driving PWM-1000~1000</t>
    <phoneticPr fontId="1" type="noConversion"/>
  </si>
  <si>
    <t>Braking PWM-5000~5000</t>
    <phoneticPr fontId="1" type="noConversion"/>
  </si>
  <si>
    <t>MTemp3</t>
    <phoneticPr fontId="1" type="noConversion"/>
  </si>
  <si>
    <t>MTemp4</t>
    <phoneticPr fontId="1" type="noConversion"/>
  </si>
  <si>
    <t>Motor3 temperature</t>
    <phoneticPr fontId="1" type="noConversion"/>
  </si>
  <si>
    <t>Motor4 temperature</t>
    <phoneticPr fontId="1" type="noConversion"/>
  </si>
  <si>
    <t>ADS VRU A  
ADS CAR A/S/X</t>
    <phoneticPr fontId="1" type="noConversion"/>
  </si>
  <si>
    <t>ADS VRU A  
ADS CAR A/S/X</t>
    <phoneticPr fontId="1" type="noConversion"/>
  </si>
  <si>
    <t>BVolt3</t>
  </si>
  <si>
    <t>BVolt4</t>
  </si>
  <si>
    <t>Voltage, battery2</t>
  </si>
  <si>
    <t>Voltage, battery3</t>
  </si>
  <si>
    <t xml:space="preserve"> ADS CAR S/X</t>
    <phoneticPr fontId="1" type="noConversion"/>
  </si>
  <si>
    <t>MOV_OT2</t>
  </si>
  <si>
    <t>MOV_OT3</t>
  </si>
  <si>
    <t>MOV_OT4</t>
  </si>
  <si>
    <t>CPUTemp</t>
    <phoneticPr fontId="1" type="noConversion"/>
  </si>
  <si>
    <t>BTemp2</t>
  </si>
  <si>
    <t>BTemp3</t>
  </si>
  <si>
    <t>BTemp4</t>
  </si>
  <si>
    <t>Core temperature, battery2</t>
  </si>
  <si>
    <t>Core temperature, battery3</t>
  </si>
  <si>
    <t>Bcurr2</t>
  </si>
  <si>
    <t>Bcurr3</t>
  </si>
  <si>
    <t>Bcurr4</t>
  </si>
  <si>
    <t>Current, battery2</t>
  </si>
  <si>
    <t>Current, battery3</t>
  </si>
  <si>
    <t>SOC1</t>
    <phoneticPr fontId="1" type="noConversion"/>
  </si>
  <si>
    <t>SOC2</t>
  </si>
  <si>
    <t>SOC3</t>
  </si>
  <si>
    <t>SOC4</t>
  </si>
  <si>
    <t>State of Charge, battery2</t>
  </si>
  <si>
    <t>State of Charge, battery1</t>
    <phoneticPr fontId="1" type="noConversion"/>
  </si>
  <si>
    <t>State of Charge, battery3</t>
  </si>
  <si>
    <t>Relative Y regarding Target Origin</t>
    <phoneticPr fontId="1" type="noConversion"/>
  </si>
  <si>
    <t>ADS VRU A 
ADS CAR A/S/X</t>
    <phoneticPr fontId="1" type="noConversion"/>
  </si>
  <si>
    <t>reserved</t>
    <phoneticPr fontId="1" type="noConversion"/>
  </si>
  <si>
    <t>reserved</t>
    <phoneticPr fontId="1" type="noConversion"/>
  </si>
  <si>
    <t>Bat_State1</t>
    <phoneticPr fontId="1" type="noConversion"/>
  </si>
  <si>
    <t>Battery state, battery1</t>
    <phoneticPr fontId="1" type="noConversion"/>
  </si>
  <si>
    <t>Battery state, battery3</t>
    <phoneticPr fontId="1" type="noConversion"/>
  </si>
  <si>
    <t>Bat_State4</t>
    <phoneticPr fontId="1" type="noConversion"/>
  </si>
  <si>
    <t>Battery state, battery4</t>
    <phoneticPr fontId="1" type="noConversion"/>
  </si>
  <si>
    <t>Lat_Dev</t>
    <phoneticPr fontId="1" type="noConversion"/>
  </si>
  <si>
    <t>Dist_X</t>
    <phoneticPr fontId="1" type="noConversion"/>
  </si>
  <si>
    <t>Dist_Y</t>
    <phoneticPr fontId="1" type="noConversion"/>
  </si>
  <si>
    <t>Heading</t>
    <phoneticPr fontId="1" type="noConversion"/>
  </si>
  <si>
    <t>Speed</t>
    <phoneticPr fontId="1" type="noConversion"/>
  </si>
  <si>
    <t>Speed North</t>
    <phoneticPr fontId="1" type="noConversion"/>
  </si>
  <si>
    <t>Lateral acceleration</t>
    <phoneticPr fontId="1" type="noConversion"/>
  </si>
  <si>
    <t>dyaw</t>
    <phoneticPr fontId="1" type="noConversion"/>
  </si>
  <si>
    <t>yaw rate</t>
    <phoneticPr fontId="1" type="noConversion"/>
  </si>
  <si>
    <t>Voltage, battery1</t>
    <phoneticPr fontId="1" type="noConversion"/>
  </si>
  <si>
    <t>BVolt2</t>
    <phoneticPr fontId="1" type="noConversion"/>
  </si>
  <si>
    <t>Core temperature, battery4</t>
    <phoneticPr fontId="1" type="noConversion"/>
  </si>
  <si>
    <t>Voltage, battery4</t>
    <phoneticPr fontId="1" type="noConversion"/>
  </si>
  <si>
    <t>BTemp1</t>
    <phoneticPr fontId="1" type="noConversion"/>
  </si>
  <si>
    <t>Current, battery4</t>
    <phoneticPr fontId="1" type="noConversion"/>
  </si>
  <si>
    <t>MOV_OT1</t>
    <phoneticPr fontId="1" type="noConversion"/>
  </si>
  <si>
    <t>SR_SW1</t>
    <phoneticPr fontId="1" type="noConversion"/>
  </si>
  <si>
    <t>SR_SW4</t>
    <phoneticPr fontId="1" type="noConversion"/>
  </si>
  <si>
    <t>Sender</t>
    <phoneticPr fontId="1" type="noConversion"/>
  </si>
  <si>
    <t>Version</t>
    <phoneticPr fontId="1" type="noConversion"/>
  </si>
  <si>
    <t>MessageID</t>
    <phoneticPr fontId="1" type="noConversion"/>
  </si>
  <si>
    <t>1-Dynamic Object Target Message, DOTM
2-Scenario Initialization Data, SCID
3-Remote Control Command, RCMD
4-VUT Message, VUTM
11-Target monitoring message, MONM</t>
    <phoneticPr fontId="1" type="noConversion"/>
  </si>
  <si>
    <t>State of Charge, battery4</t>
    <phoneticPr fontId="1" type="noConversion"/>
  </si>
  <si>
    <t>O_Mode</t>
    <phoneticPr fontId="1" type="noConversion"/>
  </si>
  <si>
    <t>Test_State</t>
    <phoneticPr fontId="1" type="noConversion"/>
  </si>
  <si>
    <t>Latitude</t>
    <phoneticPr fontId="1" type="noConversion"/>
  </si>
  <si>
    <t>Longitude</t>
    <phoneticPr fontId="1" type="noConversion"/>
  </si>
  <si>
    <t>ADS_ID</t>
    <phoneticPr fontId="1" type="noConversion"/>
  </si>
  <si>
    <t>GPS_Time</t>
    <phoneticPr fontId="1" type="noConversion"/>
  </si>
  <si>
    <t>GPS Time in Second of current week</t>
    <phoneticPr fontId="1" type="noConversion"/>
  </si>
  <si>
    <t>GPS_Week</t>
    <phoneticPr fontId="1" type="noConversion"/>
  </si>
  <si>
    <t>GPS week since Jan 1980</t>
    <phoneticPr fontId="1" type="noConversion"/>
  </si>
  <si>
    <t>FSMessage1</t>
    <phoneticPr fontId="1" type="noConversion"/>
  </si>
  <si>
    <t>FSMessage2</t>
    <phoneticPr fontId="1" type="noConversion"/>
  </si>
  <si>
    <t>Posi_RMS</t>
    <phoneticPr fontId="1" type="noConversion"/>
  </si>
  <si>
    <t>Position error RMS, Horizontal</t>
    <phoneticPr fontId="1" type="noConversion"/>
  </si>
  <si>
    <t>Lateral deviation from the planned path</t>
    <phoneticPr fontId="1" type="noConversion"/>
  </si>
  <si>
    <t>Y_rel</t>
    <phoneticPr fontId="1" type="noConversion"/>
  </si>
  <si>
    <t>total Speed</t>
    <phoneticPr fontId="1" type="noConversion"/>
  </si>
  <si>
    <t>Speed East</t>
    <phoneticPr fontId="1" type="noConversion"/>
  </si>
  <si>
    <t>Speed_N</t>
    <phoneticPr fontId="1" type="noConversion"/>
  </si>
  <si>
    <t>ax</t>
    <phoneticPr fontId="1" type="noConversion"/>
  </si>
  <si>
    <t>Longitudinal acceleration</t>
    <phoneticPr fontId="1" type="noConversion"/>
  </si>
  <si>
    <t>ay</t>
    <phoneticPr fontId="1" type="noConversion"/>
  </si>
  <si>
    <t>BVolt1</t>
    <phoneticPr fontId="1" type="noConversion"/>
  </si>
  <si>
    <t>Core temperature, battery1</t>
    <phoneticPr fontId="1" type="noConversion"/>
  </si>
  <si>
    <t>Bcurr1</t>
    <phoneticPr fontId="1" type="noConversion"/>
  </si>
  <si>
    <t>Current, battery1</t>
    <phoneticPr fontId="1" type="noConversion"/>
  </si>
  <si>
    <t>MTemp1</t>
    <phoneticPr fontId="1" type="noConversion"/>
  </si>
  <si>
    <t>Motor1 temperature</t>
    <phoneticPr fontId="1" type="noConversion"/>
  </si>
  <si>
    <t>CPU temperature</t>
    <phoneticPr fontId="1" type="noConversion"/>
  </si>
  <si>
    <t>BRA_OT</t>
    <phoneticPr fontId="1" type="noConversion"/>
  </si>
  <si>
    <t>Counter</t>
    <phoneticPr fontId="1" type="noConversion"/>
  </si>
  <si>
    <t>Operation mode
0x00--Stand Still
0x0A--Functional Safety
0x0B--Remote Control
0x0C--Trajectory Control</t>
    <phoneticPr fontId="1" type="noConversion"/>
  </si>
  <si>
    <t>double float</t>
    <phoneticPr fontId="1" type="noConversion"/>
  </si>
  <si>
    <t>single float</t>
    <phoneticPr fontId="1" type="noConversion"/>
  </si>
  <si>
    <t>Production date, xxddmmyy
xx-number</t>
    <phoneticPr fontId="1" type="noConversion"/>
  </si>
  <si>
    <t>Longitudinal distance from Target to VUT, under Target coordinate</t>
    <phoneticPr fontId="1" type="noConversion"/>
  </si>
  <si>
    <t>Lateral distance from Target to VUT, under Target coordinate</t>
    <phoneticPr fontId="1" type="noConversion"/>
  </si>
  <si>
    <t>Relative X regarding Target Origin</t>
    <phoneticPr fontId="1" type="noConversion"/>
  </si>
  <si>
    <t>VUT Relative X regarding Target Origin</t>
    <phoneticPr fontId="1" type="noConversion"/>
  </si>
  <si>
    <t>VUT Relative X regarding Target Origin</t>
    <phoneticPr fontId="1" type="noConversion"/>
  </si>
  <si>
    <t>X_rel</t>
    <phoneticPr fontId="1" type="noConversion"/>
  </si>
  <si>
    <t>Y_rel_VUT</t>
    <phoneticPr fontId="1" type="noConversion"/>
  </si>
  <si>
    <t>X_rel_VUT</t>
    <phoneticPr fontId="1" type="noConversion"/>
  </si>
  <si>
    <t>Speed_E</t>
    <phoneticPr fontId="1" type="noConversion"/>
  </si>
  <si>
    <t>Steering angle</t>
    <phoneticPr fontId="1" type="noConversion"/>
  </si>
  <si>
    <t>STE_Ang</t>
    <phoneticPr fontId="1" type="noConversion"/>
  </si>
  <si>
    <t>Steering PWM-1000~1000</t>
    <phoneticPr fontId="1" type="noConversion"/>
  </si>
  <si>
    <t>STE_OT</t>
    <phoneticPr fontId="1" type="noConversion"/>
  </si>
  <si>
    <t>INS_Status</t>
    <phoneticPr fontId="1" type="noConversion"/>
  </si>
  <si>
    <t>INS Alignment Status
0：初始化;
1：卫导模式;
2：组合导航模式;
3：纯惯导模式</t>
    <phoneticPr fontId="1" type="noConversion"/>
  </si>
  <si>
    <t>GNSS Status
0：不定位不定向；
1：单点定位定向；
2：伪距差分定位定向；
3：组合推算；
4：RTK 稳定解定位定向；
5：RTK浮点解定位定向；
6：单点定位不定向；
7：伪距差分定位不定向；
8：RTK稳定解定位不定向；
9：RTK浮点解定位不定向</t>
    <phoneticPr fontId="1" type="noConversion"/>
  </si>
  <si>
    <t>GNSS_Status</t>
    <phoneticPr fontId="1" type="noConversion"/>
  </si>
  <si>
    <t>ADS Target to AD Studio- UDP Protocol-CAR/VRU platform_V1.1</t>
    <phoneticPr fontId="1" type="noConversion"/>
  </si>
  <si>
    <t>TTC</t>
    <phoneticPr fontId="1" type="noConversion"/>
  </si>
  <si>
    <t>Time to collision,</t>
    <phoneticPr fontId="1" type="noConversion"/>
  </si>
  <si>
    <t>s</t>
    <phoneticPr fontId="1" type="noConversion"/>
  </si>
  <si>
    <t>Byte3：Emergency stop急停
0-正常，1-急停
Byte2：INS state惯导状态
0-离线，1/2/3-在线
Byte1：Overrun碾压
0-正常，1-碾压
Byte0：Traj following轨迹跟踪
0-正常，1-偏离轨迹</t>
    <phoneticPr fontId="1" type="noConversion"/>
  </si>
  <si>
    <t>Byte3：Communication通信
bit0-VUT, bit1-RC，bit2-AD Studio
0-在线，1-离线
Byte2：Battery电池
0-正常，1-欠压，2-电压过低
Byte1：Sensor传感器
bit0-温度传感器, bit1-电磁制动器，bit2-角度传感器
0-在线，1-离线
Byte0：Temperature温度
0-正常，1-温度警示，2-温度过高</t>
    <phoneticPr fontId="1" type="noConversion"/>
  </si>
  <si>
    <t xml:space="preserve">1--ADS Studio
2--Remote Control
136~149--ADS CAR A/S/X
121~135--ADS VRU S/X
100~120--ADS VRU A </t>
    <phoneticPr fontId="1" type="noConversion"/>
  </si>
  <si>
    <t>MPCFlags</t>
    <phoneticPr fontId="1" type="noConversion"/>
  </si>
  <si>
    <t>todo</t>
    <phoneticPr fontId="1" type="noConversion"/>
  </si>
  <si>
    <t>INS heading[0-360deg]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</si>
</sst>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6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horizontal="center" vertical="center" wrapText="1"/>
    </xf>
    <xf numFmtId="11" fontId="2" fillId="0" borderId="0" xfId="0" quotePrefix="1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16" zoomScale="113" zoomScaleNormal="85" workbookViewId="0">
      <selection activeCell="C63" sqref="C63"/>
    </sheetView>
  </sheetViews>
  <sheetFormatPr defaultRowHeight="14.25" x14ac:dyDescent="0.2"/>
  <cols>
    <col min="1" max="1" width="8.875" style="7"/>
    <col min="2" max="2" width="29.875" style="2" bestFit="1" customWidth="1"/>
    <col min="3" max="3" width="50.375" style="2" customWidth="1"/>
    <col min="4" max="4" width="26.375" style="2" customWidth="1"/>
    <col min="5" max="5" width="8.875" style="7"/>
    <col min="6" max="6" width="9.375" style="7" bestFit="1" customWidth="1"/>
    <col min="7" max="7" width="8.875" style="7"/>
    <col min="8" max="8" width="12.625" style="7" bestFit="1" customWidth="1"/>
    <col min="9" max="9" width="8.875" style="7"/>
    <col min="10" max="10" width="10.625" style="7" bestFit="1" customWidth="1"/>
  </cols>
  <sheetData>
    <row r="1" spans="1:10" ht="20.25" x14ac:dyDescent="0.2">
      <c r="B1" s="10" t="s">
        <v>167</v>
      </c>
      <c r="C1" s="10"/>
      <c r="D1" s="10"/>
      <c r="E1" s="10"/>
      <c r="F1" s="10"/>
      <c r="G1" s="10"/>
      <c r="H1" s="10"/>
      <c r="I1" s="10"/>
      <c r="J1" s="10"/>
    </row>
    <row r="2" spans="1:10" ht="28.5" x14ac:dyDescent="0.2">
      <c r="A2" s="1" t="s">
        <v>27</v>
      </c>
      <c r="B2" s="3" t="s">
        <v>0</v>
      </c>
      <c r="C2" s="3" t="s">
        <v>1</v>
      </c>
      <c r="D2" s="3" t="s">
        <v>35</v>
      </c>
      <c r="E2" s="1" t="s">
        <v>2</v>
      </c>
      <c r="F2" s="1" t="s">
        <v>3</v>
      </c>
      <c r="G2" s="1" t="s">
        <v>5</v>
      </c>
      <c r="H2" s="1" t="s">
        <v>7</v>
      </c>
      <c r="I2" s="1" t="s">
        <v>4</v>
      </c>
      <c r="J2" s="1" t="s">
        <v>19</v>
      </c>
    </row>
    <row r="3" spans="1:10" x14ac:dyDescent="0.2">
      <c r="A3" s="7">
        <v>0</v>
      </c>
      <c r="B3" s="3" t="s">
        <v>6</v>
      </c>
      <c r="C3" s="3"/>
      <c r="D3" s="3"/>
      <c r="E3" s="1"/>
      <c r="F3" s="1"/>
      <c r="G3" s="1"/>
      <c r="H3" s="1"/>
      <c r="I3" s="1">
        <v>42</v>
      </c>
      <c r="J3" s="1">
        <v>0</v>
      </c>
    </row>
    <row r="4" spans="1:10" ht="28.5" x14ac:dyDescent="0.2">
      <c r="A4" s="7">
        <v>1</v>
      </c>
      <c r="B4" s="3" t="s">
        <v>118</v>
      </c>
      <c r="C4" s="3" t="s">
        <v>118</v>
      </c>
      <c r="D4" s="3" t="s">
        <v>39</v>
      </c>
      <c r="E4" s="1" t="s">
        <v>33</v>
      </c>
      <c r="F4" s="1">
        <v>1</v>
      </c>
      <c r="G4" s="1">
        <v>0</v>
      </c>
      <c r="H4" s="1" t="s">
        <v>147</v>
      </c>
      <c r="I4" s="1">
        <v>8</v>
      </c>
      <c r="J4" s="1">
        <f>J3+I3</f>
        <v>42</v>
      </c>
    </row>
    <row r="5" spans="1:10" ht="28.5" x14ac:dyDescent="0.2">
      <c r="A5" s="7">
        <v>2</v>
      </c>
      <c r="B5" s="3" t="s">
        <v>119</v>
      </c>
      <c r="C5" s="3" t="s">
        <v>119</v>
      </c>
      <c r="D5" s="3" t="s">
        <v>39</v>
      </c>
      <c r="E5" s="1" t="s">
        <v>16</v>
      </c>
      <c r="F5" s="1">
        <v>1</v>
      </c>
      <c r="G5" s="1">
        <v>0</v>
      </c>
      <c r="H5" s="1" t="s">
        <v>147</v>
      </c>
      <c r="I5" s="1">
        <v>8</v>
      </c>
      <c r="J5" s="1">
        <f>J4+I4</f>
        <v>50</v>
      </c>
    </row>
    <row r="6" spans="1:10" ht="28.5" x14ac:dyDescent="0.2">
      <c r="A6" s="7">
        <v>3</v>
      </c>
      <c r="B6" s="3" t="s">
        <v>120</v>
      </c>
      <c r="C6" s="8" t="s">
        <v>149</v>
      </c>
      <c r="D6" s="3" t="s">
        <v>39</v>
      </c>
      <c r="E6" s="1"/>
      <c r="F6" s="1">
        <v>1</v>
      </c>
      <c r="G6" s="1">
        <v>0</v>
      </c>
      <c r="H6" s="1" t="s">
        <v>8</v>
      </c>
      <c r="I6" s="1">
        <v>4</v>
      </c>
      <c r="J6" s="1">
        <f t="shared" ref="J6:J70" si="0">J5+I5</f>
        <v>58</v>
      </c>
    </row>
    <row r="7" spans="1:10" ht="28.5" x14ac:dyDescent="0.2">
      <c r="A7" s="7">
        <v>4</v>
      </c>
      <c r="B7" s="8" t="s">
        <v>121</v>
      </c>
      <c r="C7" s="8" t="s">
        <v>122</v>
      </c>
      <c r="D7" s="3" t="s">
        <v>39</v>
      </c>
      <c r="E7" s="1" t="s">
        <v>9</v>
      </c>
      <c r="F7" s="5">
        <v>1E-3</v>
      </c>
      <c r="G7" s="1">
        <v>0</v>
      </c>
      <c r="H7" s="1" t="s">
        <v>21</v>
      </c>
      <c r="I7" s="1">
        <v>4</v>
      </c>
      <c r="J7" s="1">
        <f t="shared" si="0"/>
        <v>62</v>
      </c>
    </row>
    <row r="8" spans="1:10" ht="28.5" x14ac:dyDescent="0.2">
      <c r="A8" s="7">
        <v>5</v>
      </c>
      <c r="B8" s="8" t="s">
        <v>123</v>
      </c>
      <c r="C8" s="8" t="s">
        <v>124</v>
      </c>
      <c r="D8" s="3" t="s">
        <v>40</v>
      </c>
      <c r="E8" s="1"/>
      <c r="F8" s="4">
        <v>1</v>
      </c>
      <c r="G8" s="1">
        <v>0</v>
      </c>
      <c r="H8" s="1" t="s">
        <v>21</v>
      </c>
      <c r="I8" s="1">
        <v>4</v>
      </c>
      <c r="J8" s="1">
        <f t="shared" si="0"/>
        <v>66</v>
      </c>
    </row>
    <row r="9" spans="1:10" ht="197.25" customHeight="1" x14ac:dyDescent="0.2">
      <c r="A9" s="7">
        <v>6</v>
      </c>
      <c r="B9" s="8" t="s">
        <v>125</v>
      </c>
      <c r="C9" s="8" t="s">
        <v>172</v>
      </c>
      <c r="D9" s="3" t="s">
        <v>40</v>
      </c>
      <c r="E9" s="1"/>
      <c r="F9" s="1">
        <v>1</v>
      </c>
      <c r="G9" s="1">
        <v>0</v>
      </c>
      <c r="H9" s="1" t="s">
        <v>8</v>
      </c>
      <c r="I9" s="1">
        <v>4</v>
      </c>
      <c r="J9" s="1">
        <f t="shared" si="0"/>
        <v>70</v>
      </c>
    </row>
    <row r="10" spans="1:10" ht="156.75" x14ac:dyDescent="0.2">
      <c r="A10" s="7">
        <v>7</v>
      </c>
      <c r="B10" s="8" t="s">
        <v>126</v>
      </c>
      <c r="C10" s="8" t="s">
        <v>171</v>
      </c>
      <c r="D10" s="3" t="s">
        <v>41</v>
      </c>
      <c r="E10" s="1"/>
      <c r="F10" s="1">
        <v>1</v>
      </c>
      <c r="G10" s="1">
        <v>0</v>
      </c>
      <c r="H10" s="1" t="s">
        <v>8</v>
      </c>
      <c r="I10" s="1">
        <v>4</v>
      </c>
      <c r="J10" s="1">
        <f t="shared" si="0"/>
        <v>74</v>
      </c>
    </row>
    <row r="11" spans="1:10" ht="28.5" x14ac:dyDescent="0.2">
      <c r="A11" s="7">
        <v>8</v>
      </c>
      <c r="B11" s="8" t="s">
        <v>88</v>
      </c>
      <c r="C11" s="8" t="s">
        <v>89</v>
      </c>
      <c r="D11" s="3" t="s">
        <v>40</v>
      </c>
      <c r="E11" s="1"/>
      <c r="F11" s="1">
        <v>1</v>
      </c>
      <c r="G11" s="1">
        <v>0</v>
      </c>
      <c r="H11" s="1" t="s">
        <v>8</v>
      </c>
      <c r="I11" s="1">
        <v>4</v>
      </c>
      <c r="J11" s="1">
        <f t="shared" si="0"/>
        <v>78</v>
      </c>
    </row>
    <row r="12" spans="1:10" x14ac:dyDescent="0.2">
      <c r="A12" s="7">
        <v>9</v>
      </c>
      <c r="B12" s="8" t="s">
        <v>36</v>
      </c>
      <c r="C12" s="8" t="s">
        <v>38</v>
      </c>
      <c r="D12" s="3" t="s">
        <v>44</v>
      </c>
      <c r="E12" s="1"/>
      <c r="F12" s="1">
        <v>1</v>
      </c>
      <c r="G12" s="1">
        <v>0</v>
      </c>
      <c r="H12" s="1" t="s">
        <v>8</v>
      </c>
      <c r="I12" s="1">
        <v>4</v>
      </c>
      <c r="J12" s="1">
        <f t="shared" si="0"/>
        <v>82</v>
      </c>
    </row>
    <row r="13" spans="1:10" x14ac:dyDescent="0.2">
      <c r="A13" s="7">
        <v>10</v>
      </c>
      <c r="B13" s="8" t="s">
        <v>37</v>
      </c>
      <c r="C13" s="8" t="s">
        <v>90</v>
      </c>
      <c r="D13" s="3" t="s">
        <v>44</v>
      </c>
      <c r="E13" s="1"/>
      <c r="F13" s="1">
        <v>1</v>
      </c>
      <c r="G13" s="1">
        <v>0</v>
      </c>
      <c r="H13" s="1" t="s">
        <v>8</v>
      </c>
      <c r="I13" s="1">
        <v>4</v>
      </c>
      <c r="J13" s="1">
        <f t="shared" si="0"/>
        <v>86</v>
      </c>
    </row>
    <row r="14" spans="1:10" x14ac:dyDescent="0.2">
      <c r="A14" s="7">
        <v>11</v>
      </c>
      <c r="B14" s="8" t="s">
        <v>91</v>
      </c>
      <c r="C14" s="8" t="s">
        <v>92</v>
      </c>
      <c r="D14" s="3" t="s">
        <v>44</v>
      </c>
      <c r="E14" s="1"/>
      <c r="F14" s="1">
        <v>1</v>
      </c>
      <c r="G14" s="1">
        <v>0</v>
      </c>
      <c r="H14" s="1" t="s">
        <v>8</v>
      </c>
      <c r="I14" s="1">
        <v>4</v>
      </c>
      <c r="J14" s="1">
        <f t="shared" si="0"/>
        <v>90</v>
      </c>
    </row>
    <row r="15" spans="1:10" ht="28.5" x14ac:dyDescent="0.2">
      <c r="A15" s="7">
        <v>12</v>
      </c>
      <c r="B15" s="8" t="s">
        <v>174</v>
      </c>
      <c r="C15" s="12" t="s">
        <v>175</v>
      </c>
      <c r="D15" s="3" t="s">
        <v>40</v>
      </c>
      <c r="E15" s="1"/>
      <c r="F15" s="1">
        <v>1</v>
      </c>
      <c r="G15" s="1">
        <v>0</v>
      </c>
      <c r="H15" s="1" t="s">
        <v>8</v>
      </c>
      <c r="I15" s="1">
        <v>4</v>
      </c>
      <c r="J15" s="1">
        <f t="shared" si="0"/>
        <v>94</v>
      </c>
    </row>
    <row r="16" spans="1:10" s="9" customFormat="1" ht="28.5" x14ac:dyDescent="0.2">
      <c r="A16" s="7">
        <v>13</v>
      </c>
      <c r="B16" s="8" t="s">
        <v>127</v>
      </c>
      <c r="C16" s="8" t="s">
        <v>128</v>
      </c>
      <c r="D16" s="3" t="s">
        <v>40</v>
      </c>
      <c r="E16" s="1" t="s">
        <v>31</v>
      </c>
      <c r="F16" s="4">
        <v>1</v>
      </c>
      <c r="G16" s="1">
        <v>0</v>
      </c>
      <c r="H16" s="1" t="s">
        <v>148</v>
      </c>
      <c r="I16" s="1">
        <v>4</v>
      </c>
      <c r="J16" s="1">
        <f t="shared" si="0"/>
        <v>98</v>
      </c>
    </row>
    <row r="17" spans="1:10" s="9" customFormat="1" ht="28.5" x14ac:dyDescent="0.2">
      <c r="A17" s="7">
        <v>14</v>
      </c>
      <c r="B17" s="8" t="s">
        <v>93</v>
      </c>
      <c r="C17" s="8" t="s">
        <v>129</v>
      </c>
      <c r="D17" s="3" t="s">
        <v>40</v>
      </c>
      <c r="E17" s="1" t="s">
        <v>31</v>
      </c>
      <c r="F17" s="4">
        <v>1</v>
      </c>
      <c r="G17" s="1">
        <v>0</v>
      </c>
      <c r="H17" s="1" t="s">
        <v>148</v>
      </c>
      <c r="I17" s="1">
        <v>4</v>
      </c>
      <c r="J17" s="1">
        <f t="shared" si="0"/>
        <v>102</v>
      </c>
    </row>
    <row r="18" spans="1:10" s="9" customFormat="1" ht="28.5" x14ac:dyDescent="0.2">
      <c r="A18" s="7">
        <v>15</v>
      </c>
      <c r="B18" s="8" t="s">
        <v>94</v>
      </c>
      <c r="C18" s="8" t="s">
        <v>150</v>
      </c>
      <c r="D18" s="3" t="s">
        <v>40</v>
      </c>
      <c r="E18" s="1" t="s">
        <v>31</v>
      </c>
      <c r="F18" s="4">
        <v>1</v>
      </c>
      <c r="G18" s="4">
        <v>0</v>
      </c>
      <c r="H18" s="1" t="s">
        <v>148</v>
      </c>
      <c r="I18" s="1">
        <v>4</v>
      </c>
      <c r="J18" s="1">
        <f t="shared" si="0"/>
        <v>106</v>
      </c>
    </row>
    <row r="19" spans="1:10" s="9" customFormat="1" ht="28.5" x14ac:dyDescent="0.2">
      <c r="A19" s="7">
        <v>16</v>
      </c>
      <c r="B19" s="8" t="s">
        <v>95</v>
      </c>
      <c r="C19" s="8" t="s">
        <v>151</v>
      </c>
      <c r="D19" s="3" t="s">
        <v>42</v>
      </c>
      <c r="E19" s="1" t="s">
        <v>31</v>
      </c>
      <c r="F19" s="4">
        <v>1</v>
      </c>
      <c r="G19" s="4">
        <v>0</v>
      </c>
      <c r="H19" s="1" t="s">
        <v>148</v>
      </c>
      <c r="I19" s="1">
        <v>4</v>
      </c>
      <c r="J19" s="1">
        <f t="shared" si="0"/>
        <v>110</v>
      </c>
    </row>
    <row r="20" spans="1:10" s="9" customFormat="1" ht="28.5" x14ac:dyDescent="0.2">
      <c r="A20" s="7">
        <v>17</v>
      </c>
      <c r="B20" s="8" t="s">
        <v>155</v>
      </c>
      <c r="C20" s="8" t="s">
        <v>152</v>
      </c>
      <c r="D20" s="3" t="s">
        <v>40</v>
      </c>
      <c r="E20" s="1" t="s">
        <v>31</v>
      </c>
      <c r="F20" s="4">
        <v>1</v>
      </c>
      <c r="G20" s="4">
        <v>0</v>
      </c>
      <c r="H20" s="1" t="s">
        <v>148</v>
      </c>
      <c r="I20" s="1">
        <v>4</v>
      </c>
      <c r="J20" s="1">
        <f t="shared" si="0"/>
        <v>114</v>
      </c>
    </row>
    <row r="21" spans="1:10" s="9" customFormat="1" ht="28.5" x14ac:dyDescent="0.2">
      <c r="A21" s="7">
        <v>18</v>
      </c>
      <c r="B21" s="8" t="s">
        <v>130</v>
      </c>
      <c r="C21" s="8" t="s">
        <v>84</v>
      </c>
      <c r="D21" s="3" t="s">
        <v>40</v>
      </c>
      <c r="E21" s="1" t="s">
        <v>31</v>
      </c>
      <c r="F21" s="4">
        <v>1</v>
      </c>
      <c r="G21" s="4">
        <v>0</v>
      </c>
      <c r="H21" s="1" t="s">
        <v>148</v>
      </c>
      <c r="I21" s="1">
        <v>4</v>
      </c>
      <c r="J21" s="1">
        <f t="shared" si="0"/>
        <v>118</v>
      </c>
    </row>
    <row r="22" spans="1:10" s="9" customFormat="1" ht="28.5" x14ac:dyDescent="0.2">
      <c r="A22" s="7">
        <v>19</v>
      </c>
      <c r="B22" s="8" t="s">
        <v>157</v>
      </c>
      <c r="C22" s="8" t="s">
        <v>153</v>
      </c>
      <c r="D22" s="3" t="s">
        <v>40</v>
      </c>
      <c r="E22" s="1" t="s">
        <v>31</v>
      </c>
      <c r="F22" s="4">
        <v>1</v>
      </c>
      <c r="G22" s="4">
        <v>0</v>
      </c>
      <c r="H22" s="1" t="s">
        <v>148</v>
      </c>
      <c r="I22" s="1">
        <v>4</v>
      </c>
      <c r="J22" s="1">
        <f t="shared" si="0"/>
        <v>122</v>
      </c>
    </row>
    <row r="23" spans="1:10" s="9" customFormat="1" ht="28.5" x14ac:dyDescent="0.2">
      <c r="A23" s="7">
        <v>20</v>
      </c>
      <c r="B23" s="8" t="s">
        <v>156</v>
      </c>
      <c r="C23" s="8" t="s">
        <v>154</v>
      </c>
      <c r="D23" s="3" t="s">
        <v>40</v>
      </c>
      <c r="E23" s="1" t="s">
        <v>31</v>
      </c>
      <c r="F23" s="4">
        <v>1</v>
      </c>
      <c r="G23" s="4">
        <v>0</v>
      </c>
      <c r="H23" s="1" t="s">
        <v>148</v>
      </c>
      <c r="I23" s="1">
        <v>4</v>
      </c>
      <c r="J23" s="1">
        <f t="shared" si="0"/>
        <v>126</v>
      </c>
    </row>
    <row r="24" spans="1:10" s="9" customFormat="1" ht="28.5" x14ac:dyDescent="0.2">
      <c r="A24" s="7">
        <v>21</v>
      </c>
      <c r="B24" s="8" t="s">
        <v>168</v>
      </c>
      <c r="C24" s="8" t="s">
        <v>169</v>
      </c>
      <c r="D24" s="3" t="s">
        <v>40</v>
      </c>
      <c r="E24" s="1" t="s">
        <v>170</v>
      </c>
      <c r="F24" s="4">
        <v>1</v>
      </c>
      <c r="G24" s="4">
        <v>0</v>
      </c>
      <c r="H24" s="1" t="s">
        <v>148</v>
      </c>
      <c r="I24" s="1">
        <v>4</v>
      </c>
      <c r="J24" s="1">
        <f t="shared" si="0"/>
        <v>130</v>
      </c>
    </row>
    <row r="25" spans="1:10" ht="28.5" x14ac:dyDescent="0.2">
      <c r="A25" s="7">
        <v>22</v>
      </c>
      <c r="B25" s="8" t="s">
        <v>96</v>
      </c>
      <c r="C25" s="8" t="s">
        <v>176</v>
      </c>
      <c r="D25" s="3" t="s">
        <v>40</v>
      </c>
      <c r="E25" s="1" t="s">
        <v>16</v>
      </c>
      <c r="F25" s="1">
        <v>0.01</v>
      </c>
      <c r="G25" s="1">
        <v>0</v>
      </c>
      <c r="H25" s="1" t="s">
        <v>14</v>
      </c>
      <c r="I25" s="1">
        <v>2</v>
      </c>
      <c r="J25" s="1">
        <f t="shared" si="0"/>
        <v>134</v>
      </c>
    </row>
    <row r="26" spans="1:10" ht="28.5" x14ac:dyDescent="0.2">
      <c r="A26" s="7">
        <v>23</v>
      </c>
      <c r="B26" s="8" t="s">
        <v>97</v>
      </c>
      <c r="C26" s="8" t="s">
        <v>131</v>
      </c>
      <c r="D26" s="3" t="s">
        <v>40</v>
      </c>
      <c r="E26" s="1" t="s">
        <v>11</v>
      </c>
      <c r="F26" s="1">
        <v>0.01</v>
      </c>
      <c r="G26" s="1">
        <v>0</v>
      </c>
      <c r="H26" s="1" t="s">
        <v>24</v>
      </c>
      <c r="I26" s="1">
        <v>2</v>
      </c>
      <c r="J26" s="1">
        <f t="shared" si="0"/>
        <v>136</v>
      </c>
    </row>
    <row r="27" spans="1:10" ht="28.5" x14ac:dyDescent="0.2">
      <c r="A27" s="7">
        <v>24</v>
      </c>
      <c r="B27" s="8" t="s">
        <v>158</v>
      </c>
      <c r="C27" s="8" t="s">
        <v>132</v>
      </c>
      <c r="D27" s="3" t="s">
        <v>40</v>
      </c>
      <c r="E27" s="1" t="s">
        <v>11</v>
      </c>
      <c r="F27" s="1">
        <v>0.01</v>
      </c>
      <c r="G27" s="1">
        <v>0</v>
      </c>
      <c r="H27" s="1" t="s">
        <v>24</v>
      </c>
      <c r="I27" s="1">
        <v>2</v>
      </c>
      <c r="J27" s="1">
        <f t="shared" si="0"/>
        <v>138</v>
      </c>
    </row>
    <row r="28" spans="1:10" ht="28.5" x14ac:dyDescent="0.2">
      <c r="A28" s="7">
        <v>25</v>
      </c>
      <c r="B28" s="8" t="s">
        <v>133</v>
      </c>
      <c r="C28" s="8" t="s">
        <v>98</v>
      </c>
      <c r="D28" s="3" t="s">
        <v>40</v>
      </c>
      <c r="E28" s="1" t="s">
        <v>11</v>
      </c>
      <c r="F28" s="1">
        <v>0.01</v>
      </c>
      <c r="G28" s="1">
        <v>0</v>
      </c>
      <c r="H28" s="1" t="s">
        <v>24</v>
      </c>
      <c r="I28" s="1">
        <v>2</v>
      </c>
      <c r="J28" s="1">
        <f t="shared" si="0"/>
        <v>140</v>
      </c>
    </row>
    <row r="29" spans="1:10" ht="28.5" x14ac:dyDescent="0.2">
      <c r="A29" s="7">
        <v>26</v>
      </c>
      <c r="B29" s="8" t="s">
        <v>134</v>
      </c>
      <c r="C29" s="8" t="s">
        <v>135</v>
      </c>
      <c r="D29" s="3" t="s">
        <v>40</v>
      </c>
      <c r="E29" s="1" t="s">
        <v>23</v>
      </c>
      <c r="F29" s="1">
        <v>0.01</v>
      </c>
      <c r="G29" s="1">
        <v>0</v>
      </c>
      <c r="H29" s="1" t="s">
        <v>24</v>
      </c>
      <c r="I29" s="1">
        <v>2</v>
      </c>
      <c r="J29" s="1">
        <f t="shared" si="0"/>
        <v>142</v>
      </c>
    </row>
    <row r="30" spans="1:10" ht="28.5" x14ac:dyDescent="0.2">
      <c r="A30" s="7">
        <v>27</v>
      </c>
      <c r="B30" s="8" t="s">
        <v>136</v>
      </c>
      <c r="C30" s="8" t="s">
        <v>99</v>
      </c>
      <c r="D30" s="3" t="s">
        <v>40</v>
      </c>
      <c r="E30" s="1" t="s">
        <v>23</v>
      </c>
      <c r="F30" s="1">
        <v>0.01</v>
      </c>
      <c r="G30" s="1">
        <v>0</v>
      </c>
      <c r="H30" s="1" t="s">
        <v>24</v>
      </c>
      <c r="I30" s="1">
        <v>2</v>
      </c>
      <c r="J30" s="1">
        <f t="shared" si="0"/>
        <v>144</v>
      </c>
    </row>
    <row r="31" spans="1:10" ht="28.5" x14ac:dyDescent="0.2">
      <c r="A31" s="7">
        <v>28</v>
      </c>
      <c r="B31" s="8" t="s">
        <v>100</v>
      </c>
      <c r="C31" s="8" t="s">
        <v>101</v>
      </c>
      <c r="D31" s="3" t="s">
        <v>40</v>
      </c>
      <c r="E31" s="1" t="s">
        <v>25</v>
      </c>
      <c r="F31" s="1">
        <v>0.01</v>
      </c>
      <c r="G31" s="1">
        <v>0</v>
      </c>
      <c r="H31" s="1" t="s">
        <v>24</v>
      </c>
      <c r="I31" s="1">
        <v>2</v>
      </c>
      <c r="J31" s="1">
        <f t="shared" si="0"/>
        <v>146</v>
      </c>
    </row>
    <row r="32" spans="1:10" ht="28.5" x14ac:dyDescent="0.2">
      <c r="A32" s="7">
        <v>29</v>
      </c>
      <c r="B32" s="8" t="s">
        <v>137</v>
      </c>
      <c r="C32" s="8" t="s">
        <v>102</v>
      </c>
      <c r="D32" s="3" t="s">
        <v>40</v>
      </c>
      <c r="E32" s="1" t="s">
        <v>12</v>
      </c>
      <c r="F32" s="1">
        <v>0.1</v>
      </c>
      <c r="G32" s="1">
        <v>0</v>
      </c>
      <c r="H32" s="1" t="s">
        <v>14</v>
      </c>
      <c r="I32" s="1">
        <v>2</v>
      </c>
      <c r="J32" s="1">
        <f t="shared" si="0"/>
        <v>148</v>
      </c>
    </row>
    <row r="33" spans="1:10" x14ac:dyDescent="0.2">
      <c r="A33" s="7">
        <v>30</v>
      </c>
      <c r="B33" s="8" t="s">
        <v>103</v>
      </c>
      <c r="C33" s="8" t="s">
        <v>60</v>
      </c>
      <c r="D33" s="3" t="s">
        <v>62</v>
      </c>
      <c r="E33" s="1" t="s">
        <v>12</v>
      </c>
      <c r="F33" s="1">
        <v>0.1</v>
      </c>
      <c r="G33" s="1">
        <v>0</v>
      </c>
      <c r="H33" s="1" t="s">
        <v>14</v>
      </c>
      <c r="I33" s="1">
        <v>2</v>
      </c>
      <c r="J33" s="1">
        <f t="shared" si="0"/>
        <v>150</v>
      </c>
    </row>
    <row r="34" spans="1:10" x14ac:dyDescent="0.2">
      <c r="A34" s="7">
        <v>31</v>
      </c>
      <c r="B34" s="8" t="s">
        <v>58</v>
      </c>
      <c r="C34" s="8" t="s">
        <v>61</v>
      </c>
      <c r="D34" s="3" t="s">
        <v>44</v>
      </c>
      <c r="E34" s="1" t="s">
        <v>12</v>
      </c>
      <c r="F34" s="1">
        <v>0.1</v>
      </c>
      <c r="G34" s="1">
        <v>0</v>
      </c>
      <c r="H34" s="1" t="s">
        <v>14</v>
      </c>
      <c r="I34" s="1">
        <v>2</v>
      </c>
      <c r="J34" s="1">
        <f t="shared" si="0"/>
        <v>152</v>
      </c>
    </row>
    <row r="35" spans="1:10" x14ac:dyDescent="0.2">
      <c r="A35" s="7">
        <v>32</v>
      </c>
      <c r="B35" s="8" t="s">
        <v>59</v>
      </c>
      <c r="C35" s="8" t="s">
        <v>105</v>
      </c>
      <c r="D35" s="3" t="s">
        <v>44</v>
      </c>
      <c r="E35" s="1" t="s">
        <v>12</v>
      </c>
      <c r="F35" s="1">
        <v>0.1</v>
      </c>
      <c r="G35" s="1">
        <v>0</v>
      </c>
      <c r="H35" s="1" t="s">
        <v>14</v>
      </c>
      <c r="I35" s="1">
        <v>2</v>
      </c>
      <c r="J35" s="1">
        <f t="shared" si="0"/>
        <v>154</v>
      </c>
    </row>
    <row r="36" spans="1:10" ht="28.5" x14ac:dyDescent="0.2">
      <c r="A36" s="7">
        <v>33</v>
      </c>
      <c r="B36" s="8" t="s">
        <v>106</v>
      </c>
      <c r="C36" s="8" t="s">
        <v>138</v>
      </c>
      <c r="D36" s="3" t="s">
        <v>40</v>
      </c>
      <c r="E36" s="1" t="s">
        <v>13</v>
      </c>
      <c r="F36" s="1">
        <v>0.1</v>
      </c>
      <c r="G36" s="1">
        <v>0</v>
      </c>
      <c r="H36" s="1" t="s">
        <v>24</v>
      </c>
      <c r="I36" s="1">
        <v>2</v>
      </c>
      <c r="J36" s="1">
        <f t="shared" si="0"/>
        <v>156</v>
      </c>
    </row>
    <row r="37" spans="1:10" x14ac:dyDescent="0.2">
      <c r="A37" s="7">
        <v>34</v>
      </c>
      <c r="B37" s="8" t="s">
        <v>67</v>
      </c>
      <c r="C37" s="8" t="s">
        <v>70</v>
      </c>
      <c r="D37" s="3" t="s">
        <v>62</v>
      </c>
      <c r="E37" s="1" t="s">
        <v>13</v>
      </c>
      <c r="F37" s="1">
        <v>0.1</v>
      </c>
      <c r="G37" s="1">
        <v>0</v>
      </c>
      <c r="H37" s="1" t="s">
        <v>24</v>
      </c>
      <c r="I37" s="1">
        <v>2</v>
      </c>
      <c r="J37" s="1">
        <f t="shared" si="0"/>
        <v>158</v>
      </c>
    </row>
    <row r="38" spans="1:10" x14ac:dyDescent="0.2">
      <c r="A38" s="7">
        <v>35</v>
      </c>
      <c r="B38" s="8" t="s">
        <v>68</v>
      </c>
      <c r="C38" s="8" t="s">
        <v>71</v>
      </c>
      <c r="D38" s="3" t="s">
        <v>44</v>
      </c>
      <c r="E38" s="1" t="s">
        <v>13</v>
      </c>
      <c r="F38" s="1">
        <v>0.1</v>
      </c>
      <c r="G38" s="1">
        <v>0</v>
      </c>
      <c r="H38" s="1" t="s">
        <v>24</v>
      </c>
      <c r="I38" s="1">
        <v>2</v>
      </c>
      <c r="J38" s="1">
        <f t="shared" si="0"/>
        <v>160</v>
      </c>
    </row>
    <row r="39" spans="1:10" x14ac:dyDescent="0.2">
      <c r="A39" s="7">
        <v>36</v>
      </c>
      <c r="B39" s="8" t="s">
        <v>69</v>
      </c>
      <c r="C39" s="8" t="s">
        <v>104</v>
      </c>
      <c r="D39" s="3" t="s">
        <v>44</v>
      </c>
      <c r="E39" s="1" t="s">
        <v>13</v>
      </c>
      <c r="F39" s="1">
        <v>0.1</v>
      </c>
      <c r="G39" s="1">
        <v>0</v>
      </c>
      <c r="H39" s="1" t="s">
        <v>24</v>
      </c>
      <c r="I39" s="1">
        <v>2</v>
      </c>
      <c r="J39" s="1">
        <f t="shared" si="0"/>
        <v>162</v>
      </c>
    </row>
    <row r="40" spans="1:10" ht="28.5" x14ac:dyDescent="0.2">
      <c r="A40" s="7">
        <v>37</v>
      </c>
      <c r="B40" s="8" t="s">
        <v>139</v>
      </c>
      <c r="C40" s="8" t="s">
        <v>140</v>
      </c>
      <c r="D40" s="3" t="s">
        <v>40</v>
      </c>
      <c r="E40" s="1" t="s">
        <v>26</v>
      </c>
      <c r="F40" s="1">
        <v>0.1</v>
      </c>
      <c r="G40" s="1">
        <v>0</v>
      </c>
      <c r="H40" s="1" t="s">
        <v>34</v>
      </c>
      <c r="I40" s="1">
        <v>2</v>
      </c>
      <c r="J40" s="1">
        <f t="shared" si="0"/>
        <v>164</v>
      </c>
    </row>
    <row r="41" spans="1:10" x14ac:dyDescent="0.2">
      <c r="A41" s="7">
        <v>38</v>
      </c>
      <c r="B41" s="8" t="s">
        <v>72</v>
      </c>
      <c r="C41" s="8" t="s">
        <v>75</v>
      </c>
      <c r="D41" s="3" t="s">
        <v>62</v>
      </c>
      <c r="E41" s="1" t="s">
        <v>26</v>
      </c>
      <c r="F41" s="1">
        <v>0.1</v>
      </c>
      <c r="G41" s="1">
        <v>0</v>
      </c>
      <c r="H41" s="1" t="s">
        <v>24</v>
      </c>
      <c r="I41" s="1">
        <v>2</v>
      </c>
      <c r="J41" s="1">
        <f t="shared" si="0"/>
        <v>166</v>
      </c>
    </row>
    <row r="42" spans="1:10" x14ac:dyDescent="0.2">
      <c r="A42" s="7">
        <v>39</v>
      </c>
      <c r="B42" s="8" t="s">
        <v>73</v>
      </c>
      <c r="C42" s="8" t="s">
        <v>76</v>
      </c>
      <c r="D42" s="3" t="s">
        <v>44</v>
      </c>
      <c r="E42" s="1" t="s">
        <v>26</v>
      </c>
      <c r="F42" s="1">
        <v>0.1</v>
      </c>
      <c r="G42" s="1">
        <v>0</v>
      </c>
      <c r="H42" s="1" t="s">
        <v>24</v>
      </c>
      <c r="I42" s="1">
        <v>2</v>
      </c>
      <c r="J42" s="1">
        <f t="shared" si="0"/>
        <v>168</v>
      </c>
    </row>
    <row r="43" spans="1:10" x14ac:dyDescent="0.2">
      <c r="A43" s="7">
        <v>40</v>
      </c>
      <c r="B43" s="8" t="s">
        <v>74</v>
      </c>
      <c r="C43" s="8" t="s">
        <v>107</v>
      </c>
      <c r="D43" s="3" t="s">
        <v>44</v>
      </c>
      <c r="E43" s="1" t="s">
        <v>26</v>
      </c>
      <c r="F43" s="1">
        <v>0.1</v>
      </c>
      <c r="G43" s="1">
        <v>0</v>
      </c>
      <c r="H43" s="1" t="s">
        <v>24</v>
      </c>
      <c r="I43" s="1">
        <v>2</v>
      </c>
      <c r="J43" s="1">
        <f t="shared" si="0"/>
        <v>170</v>
      </c>
    </row>
    <row r="44" spans="1:10" ht="28.5" x14ac:dyDescent="0.2">
      <c r="A44" s="7">
        <v>41</v>
      </c>
      <c r="B44" s="8" t="s">
        <v>141</v>
      </c>
      <c r="C44" s="8" t="s">
        <v>142</v>
      </c>
      <c r="D44" s="3" t="s">
        <v>40</v>
      </c>
      <c r="E44" s="1" t="s">
        <v>13</v>
      </c>
      <c r="F44" s="1">
        <v>0.1</v>
      </c>
      <c r="G44" s="1">
        <v>0</v>
      </c>
      <c r="H44" s="1" t="s">
        <v>24</v>
      </c>
      <c r="I44" s="1">
        <v>2</v>
      </c>
      <c r="J44" s="1">
        <f t="shared" si="0"/>
        <v>172</v>
      </c>
    </row>
    <row r="45" spans="1:10" ht="28.5" x14ac:dyDescent="0.2">
      <c r="A45" s="7">
        <v>42</v>
      </c>
      <c r="B45" s="8" t="s">
        <v>28</v>
      </c>
      <c r="C45" s="8" t="s">
        <v>18</v>
      </c>
      <c r="D45" s="3" t="s">
        <v>40</v>
      </c>
      <c r="E45" s="1" t="s">
        <v>13</v>
      </c>
      <c r="F45" s="1">
        <v>0.1</v>
      </c>
      <c r="G45" s="1">
        <v>0</v>
      </c>
      <c r="H45" s="1" t="s">
        <v>24</v>
      </c>
      <c r="I45" s="1">
        <v>2</v>
      </c>
      <c r="J45" s="1">
        <f t="shared" si="0"/>
        <v>174</v>
      </c>
    </row>
    <row r="46" spans="1:10" ht="28.5" x14ac:dyDescent="0.2">
      <c r="A46" s="7">
        <v>43</v>
      </c>
      <c r="B46" s="8" t="s">
        <v>52</v>
      </c>
      <c r="C46" s="8" t="s">
        <v>54</v>
      </c>
      <c r="D46" s="3" t="s">
        <v>57</v>
      </c>
      <c r="E46" s="1" t="s">
        <v>13</v>
      </c>
      <c r="F46" s="1">
        <v>0.1</v>
      </c>
      <c r="G46" s="1">
        <v>0</v>
      </c>
      <c r="H46" s="1" t="s">
        <v>24</v>
      </c>
      <c r="I46" s="1">
        <v>2</v>
      </c>
      <c r="J46" s="1">
        <f t="shared" si="0"/>
        <v>176</v>
      </c>
    </row>
    <row r="47" spans="1:10" ht="28.5" x14ac:dyDescent="0.2">
      <c r="A47" s="7">
        <v>44</v>
      </c>
      <c r="B47" s="8" t="s">
        <v>53</v>
      </c>
      <c r="C47" s="8" t="s">
        <v>55</v>
      </c>
      <c r="D47" s="3" t="s">
        <v>56</v>
      </c>
      <c r="E47" s="1" t="s">
        <v>13</v>
      </c>
      <c r="F47" s="1">
        <v>0.1</v>
      </c>
      <c r="G47" s="1">
        <v>0</v>
      </c>
      <c r="H47" s="1" t="s">
        <v>24</v>
      </c>
      <c r="I47" s="1">
        <v>2</v>
      </c>
      <c r="J47" s="1">
        <f t="shared" si="0"/>
        <v>178</v>
      </c>
    </row>
    <row r="48" spans="1:10" ht="28.5" x14ac:dyDescent="0.2">
      <c r="A48" s="7">
        <v>45</v>
      </c>
      <c r="B48" s="8" t="s">
        <v>66</v>
      </c>
      <c r="C48" s="8" t="s">
        <v>143</v>
      </c>
      <c r="D48" s="3" t="s">
        <v>40</v>
      </c>
      <c r="E48" s="1" t="s">
        <v>13</v>
      </c>
      <c r="F48" s="1">
        <v>0.1</v>
      </c>
      <c r="G48" s="1">
        <v>0</v>
      </c>
      <c r="H48" s="1" t="s">
        <v>24</v>
      </c>
      <c r="I48" s="1">
        <v>2</v>
      </c>
      <c r="J48" s="1">
        <f t="shared" si="0"/>
        <v>180</v>
      </c>
    </row>
    <row r="49" spans="1:10" ht="28.5" x14ac:dyDescent="0.2">
      <c r="A49" s="7">
        <v>46</v>
      </c>
      <c r="B49" s="8" t="s">
        <v>160</v>
      </c>
      <c r="C49" s="8" t="s">
        <v>159</v>
      </c>
      <c r="D49" s="3" t="s">
        <v>40</v>
      </c>
      <c r="E49" s="1" t="s">
        <v>10</v>
      </c>
      <c r="F49" s="1">
        <v>0.1</v>
      </c>
      <c r="G49" s="1">
        <v>0</v>
      </c>
      <c r="H49" s="1" t="s">
        <v>24</v>
      </c>
      <c r="I49" s="1">
        <v>2</v>
      </c>
      <c r="J49" s="1">
        <f t="shared" si="0"/>
        <v>182</v>
      </c>
    </row>
    <row r="50" spans="1:10" ht="28.5" x14ac:dyDescent="0.2">
      <c r="A50" s="7">
        <v>47</v>
      </c>
      <c r="B50" s="8" t="s">
        <v>162</v>
      </c>
      <c r="C50" s="8" t="s">
        <v>161</v>
      </c>
      <c r="D50" s="3" t="s">
        <v>40</v>
      </c>
      <c r="E50" s="1"/>
      <c r="F50" s="1">
        <v>1</v>
      </c>
      <c r="G50" s="4">
        <v>0</v>
      </c>
      <c r="H50" s="1" t="s">
        <v>24</v>
      </c>
      <c r="I50" s="1">
        <v>2</v>
      </c>
      <c r="J50" s="1">
        <f t="shared" si="0"/>
        <v>184</v>
      </c>
    </row>
    <row r="51" spans="1:10" ht="28.5" x14ac:dyDescent="0.2">
      <c r="A51" s="7">
        <v>48</v>
      </c>
      <c r="B51" s="8" t="s">
        <v>108</v>
      </c>
      <c r="C51" s="8" t="s">
        <v>50</v>
      </c>
      <c r="D51" s="3" t="s">
        <v>40</v>
      </c>
      <c r="E51" s="1"/>
      <c r="F51" s="1">
        <v>1</v>
      </c>
      <c r="G51" s="4">
        <v>0</v>
      </c>
      <c r="H51" s="1" t="s">
        <v>24</v>
      </c>
      <c r="I51" s="1">
        <v>2</v>
      </c>
      <c r="J51" s="1">
        <f t="shared" si="0"/>
        <v>186</v>
      </c>
    </row>
    <row r="52" spans="1:10" ht="28.5" x14ac:dyDescent="0.2">
      <c r="A52" s="7">
        <v>49</v>
      </c>
      <c r="B52" s="8" t="s">
        <v>63</v>
      </c>
      <c r="C52" s="8" t="s">
        <v>50</v>
      </c>
      <c r="D52" s="3" t="s">
        <v>40</v>
      </c>
      <c r="E52" s="1"/>
      <c r="F52" s="1">
        <v>1</v>
      </c>
      <c r="G52" s="4">
        <v>0</v>
      </c>
      <c r="H52" s="1" t="s">
        <v>24</v>
      </c>
      <c r="I52" s="1">
        <v>2</v>
      </c>
      <c r="J52" s="1">
        <f t="shared" si="0"/>
        <v>188</v>
      </c>
    </row>
    <row r="53" spans="1:10" ht="28.5" x14ac:dyDescent="0.2">
      <c r="A53" s="7">
        <v>50</v>
      </c>
      <c r="B53" s="8" t="s">
        <v>64</v>
      </c>
      <c r="C53" s="8" t="s">
        <v>50</v>
      </c>
      <c r="D53" s="3" t="s">
        <v>85</v>
      </c>
      <c r="E53" s="1"/>
      <c r="F53" s="1">
        <v>1</v>
      </c>
      <c r="G53" s="4">
        <v>0</v>
      </c>
      <c r="H53" s="1" t="s">
        <v>24</v>
      </c>
      <c r="I53" s="1">
        <v>2</v>
      </c>
      <c r="J53" s="1">
        <f t="shared" si="0"/>
        <v>190</v>
      </c>
    </row>
    <row r="54" spans="1:10" ht="28.5" x14ac:dyDescent="0.2">
      <c r="A54" s="7">
        <v>51</v>
      </c>
      <c r="B54" s="8" t="s">
        <v>65</v>
      </c>
      <c r="C54" s="8" t="s">
        <v>50</v>
      </c>
      <c r="D54" s="3" t="s">
        <v>56</v>
      </c>
      <c r="E54" s="1"/>
      <c r="F54" s="1">
        <v>1</v>
      </c>
      <c r="G54" s="4">
        <v>0</v>
      </c>
      <c r="H54" s="1" t="s">
        <v>24</v>
      </c>
      <c r="I54" s="1">
        <v>2</v>
      </c>
      <c r="J54" s="1">
        <f t="shared" si="0"/>
        <v>192</v>
      </c>
    </row>
    <row r="55" spans="1:10" ht="28.5" x14ac:dyDescent="0.2">
      <c r="A55" s="7">
        <v>52</v>
      </c>
      <c r="B55" s="8" t="s">
        <v>144</v>
      </c>
      <c r="C55" s="8" t="s">
        <v>51</v>
      </c>
      <c r="D55" s="3" t="s">
        <v>40</v>
      </c>
      <c r="E55" s="1"/>
      <c r="F55" s="1">
        <v>1</v>
      </c>
      <c r="G55" s="4">
        <v>0</v>
      </c>
      <c r="H55" s="1" t="s">
        <v>24</v>
      </c>
      <c r="I55" s="1">
        <v>2</v>
      </c>
      <c r="J55" s="1">
        <f t="shared" si="0"/>
        <v>194</v>
      </c>
    </row>
    <row r="56" spans="1:10" ht="28.5" x14ac:dyDescent="0.2">
      <c r="A56" s="7">
        <v>53</v>
      </c>
      <c r="B56" s="8" t="s">
        <v>109</v>
      </c>
      <c r="C56" s="11" t="s">
        <v>49</v>
      </c>
      <c r="D56" s="3" t="s">
        <v>40</v>
      </c>
      <c r="E56" s="1"/>
      <c r="F56" s="1">
        <v>1</v>
      </c>
      <c r="G56" s="4">
        <v>0</v>
      </c>
      <c r="H56" s="1" t="s">
        <v>14</v>
      </c>
      <c r="I56" s="1">
        <v>2</v>
      </c>
      <c r="J56" s="1">
        <f t="shared" si="0"/>
        <v>196</v>
      </c>
    </row>
    <row r="57" spans="1:10" ht="28.5" x14ac:dyDescent="0.2">
      <c r="A57" s="7">
        <v>54</v>
      </c>
      <c r="B57" s="8" t="s">
        <v>29</v>
      </c>
      <c r="C57" s="11"/>
      <c r="D57" s="3" t="s">
        <v>40</v>
      </c>
      <c r="E57" s="1"/>
      <c r="F57" s="1">
        <v>1</v>
      </c>
      <c r="G57" s="4">
        <v>0</v>
      </c>
      <c r="H57" s="1" t="s">
        <v>14</v>
      </c>
      <c r="I57" s="1">
        <v>2</v>
      </c>
      <c r="J57" s="1">
        <f t="shared" si="0"/>
        <v>198</v>
      </c>
    </row>
    <row r="58" spans="1:10" ht="28.5" x14ac:dyDescent="0.2">
      <c r="A58" s="7">
        <v>55</v>
      </c>
      <c r="B58" s="8" t="s">
        <v>30</v>
      </c>
      <c r="C58" s="11"/>
      <c r="D58" s="3" t="s">
        <v>47</v>
      </c>
      <c r="E58" s="1"/>
      <c r="F58" s="1">
        <v>1</v>
      </c>
      <c r="G58" s="4">
        <v>0</v>
      </c>
      <c r="H58" s="1" t="s">
        <v>14</v>
      </c>
      <c r="I58" s="1">
        <v>2</v>
      </c>
      <c r="J58" s="1">
        <f t="shared" si="0"/>
        <v>200</v>
      </c>
    </row>
    <row r="59" spans="1:10" ht="28.5" x14ac:dyDescent="0.2">
      <c r="A59" s="7">
        <v>56</v>
      </c>
      <c r="B59" s="8" t="s">
        <v>110</v>
      </c>
      <c r="C59" s="11"/>
      <c r="D59" s="3" t="s">
        <v>48</v>
      </c>
      <c r="E59" s="1"/>
      <c r="F59" s="1">
        <v>1</v>
      </c>
      <c r="G59" s="4">
        <v>0</v>
      </c>
      <c r="H59" s="1" t="s">
        <v>14</v>
      </c>
      <c r="I59" s="1">
        <v>2</v>
      </c>
      <c r="J59" s="1">
        <f t="shared" si="0"/>
        <v>202</v>
      </c>
    </row>
    <row r="60" spans="1:10" ht="28.5" x14ac:dyDescent="0.2">
      <c r="A60" s="7">
        <v>57</v>
      </c>
      <c r="B60" s="8" t="s">
        <v>86</v>
      </c>
      <c r="C60" s="8" t="s">
        <v>87</v>
      </c>
      <c r="D60" s="3" t="s">
        <v>40</v>
      </c>
      <c r="E60" s="1"/>
      <c r="F60" s="1">
        <v>1</v>
      </c>
      <c r="G60" s="4">
        <v>0</v>
      </c>
      <c r="H60" s="1" t="s">
        <v>24</v>
      </c>
      <c r="I60" s="1">
        <v>2</v>
      </c>
      <c r="J60" s="1">
        <f t="shared" si="0"/>
        <v>204</v>
      </c>
    </row>
    <row r="61" spans="1:10" ht="71.25" x14ac:dyDescent="0.2">
      <c r="A61" s="7">
        <v>58</v>
      </c>
      <c r="B61" s="3" t="s">
        <v>111</v>
      </c>
      <c r="C61" s="3" t="s">
        <v>173</v>
      </c>
      <c r="D61" s="3" t="s">
        <v>40</v>
      </c>
      <c r="E61" s="1"/>
      <c r="F61" s="1">
        <v>1</v>
      </c>
      <c r="G61" s="1">
        <v>0</v>
      </c>
      <c r="H61" s="1" t="s">
        <v>15</v>
      </c>
      <c r="I61" s="1">
        <v>1</v>
      </c>
      <c r="J61" s="1">
        <f t="shared" si="0"/>
        <v>206</v>
      </c>
    </row>
    <row r="62" spans="1:10" ht="28.5" x14ac:dyDescent="0.2">
      <c r="A62" s="7">
        <v>59</v>
      </c>
      <c r="B62" s="3" t="s">
        <v>112</v>
      </c>
      <c r="C62" s="3" t="s">
        <v>22</v>
      </c>
      <c r="D62" s="3" t="s">
        <v>40</v>
      </c>
      <c r="E62" s="1"/>
      <c r="F62" s="1">
        <v>1</v>
      </c>
      <c r="G62" s="1">
        <v>0</v>
      </c>
      <c r="H62" s="1" t="s">
        <v>15</v>
      </c>
      <c r="I62" s="1">
        <v>1</v>
      </c>
      <c r="J62" s="1">
        <f t="shared" si="0"/>
        <v>207</v>
      </c>
    </row>
    <row r="63" spans="1:10" ht="71.25" x14ac:dyDescent="0.2">
      <c r="A63" s="7">
        <v>60</v>
      </c>
      <c r="B63" s="3" t="s">
        <v>113</v>
      </c>
      <c r="C63" s="3" t="s">
        <v>114</v>
      </c>
      <c r="D63" s="3" t="s">
        <v>40</v>
      </c>
      <c r="E63" s="1"/>
      <c r="F63" s="1">
        <v>1</v>
      </c>
      <c r="G63" s="1">
        <v>0</v>
      </c>
      <c r="H63" s="1" t="s">
        <v>15</v>
      </c>
      <c r="I63" s="1">
        <v>1</v>
      </c>
      <c r="J63" s="1">
        <f t="shared" si="0"/>
        <v>208</v>
      </c>
    </row>
    <row r="64" spans="1:10" ht="28.5" x14ac:dyDescent="0.2">
      <c r="A64" s="7">
        <v>61</v>
      </c>
      <c r="B64" s="3" t="s">
        <v>145</v>
      </c>
      <c r="C64" s="3" t="s">
        <v>46</v>
      </c>
      <c r="D64" s="3" t="s">
        <v>40</v>
      </c>
      <c r="E64" s="1"/>
      <c r="F64" s="1">
        <v>1</v>
      </c>
      <c r="G64" s="1">
        <v>0</v>
      </c>
      <c r="H64" s="1" t="s">
        <v>15</v>
      </c>
      <c r="I64" s="1">
        <v>1</v>
      </c>
      <c r="J64" s="1">
        <f t="shared" si="0"/>
        <v>209</v>
      </c>
    </row>
    <row r="65" spans="1:10" ht="156.75" x14ac:dyDescent="0.2">
      <c r="A65" s="7">
        <v>62</v>
      </c>
      <c r="B65" s="8" t="s">
        <v>166</v>
      </c>
      <c r="C65" s="8" t="s">
        <v>165</v>
      </c>
      <c r="D65" s="3" t="s">
        <v>43</v>
      </c>
      <c r="E65" s="1"/>
      <c r="F65" s="1">
        <v>1</v>
      </c>
      <c r="G65" s="1">
        <v>0</v>
      </c>
      <c r="H65" s="1" t="s">
        <v>15</v>
      </c>
      <c r="I65" s="1">
        <v>1</v>
      </c>
      <c r="J65" s="1">
        <f t="shared" si="0"/>
        <v>210</v>
      </c>
    </row>
    <row r="66" spans="1:10" ht="71.25" x14ac:dyDescent="0.2">
      <c r="A66" s="7">
        <v>63</v>
      </c>
      <c r="B66" s="8" t="s">
        <v>163</v>
      </c>
      <c r="C66" s="8" t="s">
        <v>164</v>
      </c>
      <c r="D66" s="3" t="s">
        <v>40</v>
      </c>
      <c r="E66" s="1"/>
      <c r="F66" s="1">
        <v>1</v>
      </c>
      <c r="G66" s="1">
        <v>0</v>
      </c>
      <c r="H66" s="1" t="s">
        <v>15</v>
      </c>
      <c r="I66" s="1">
        <v>1</v>
      </c>
      <c r="J66" s="1">
        <f t="shared" si="0"/>
        <v>211</v>
      </c>
    </row>
    <row r="67" spans="1:10" ht="28.5" x14ac:dyDescent="0.2">
      <c r="A67" s="7">
        <v>64</v>
      </c>
      <c r="B67" s="8" t="s">
        <v>77</v>
      </c>
      <c r="C67" s="8" t="s">
        <v>82</v>
      </c>
      <c r="D67" s="3" t="s">
        <v>40</v>
      </c>
      <c r="E67" s="1" t="s">
        <v>17</v>
      </c>
      <c r="F67" s="1">
        <v>1</v>
      </c>
      <c r="G67" s="1">
        <v>0</v>
      </c>
      <c r="H67" s="1" t="s">
        <v>15</v>
      </c>
      <c r="I67" s="1">
        <v>1</v>
      </c>
      <c r="J67" s="1">
        <f t="shared" si="0"/>
        <v>212</v>
      </c>
    </row>
    <row r="68" spans="1:10" x14ac:dyDescent="0.2">
      <c r="A68" s="7">
        <v>65</v>
      </c>
      <c r="B68" s="8" t="s">
        <v>78</v>
      </c>
      <c r="C68" s="8" t="s">
        <v>81</v>
      </c>
      <c r="D68" s="3" t="s">
        <v>45</v>
      </c>
      <c r="E68" s="1" t="s">
        <v>17</v>
      </c>
      <c r="F68" s="1">
        <v>1</v>
      </c>
      <c r="G68" s="1">
        <v>0</v>
      </c>
      <c r="H68" s="1" t="s">
        <v>15</v>
      </c>
      <c r="I68" s="1">
        <v>1</v>
      </c>
      <c r="J68" s="1">
        <f t="shared" si="0"/>
        <v>213</v>
      </c>
    </row>
    <row r="69" spans="1:10" x14ac:dyDescent="0.2">
      <c r="A69" s="7">
        <v>66</v>
      </c>
      <c r="B69" s="8" t="s">
        <v>79</v>
      </c>
      <c r="C69" s="8" t="s">
        <v>83</v>
      </c>
      <c r="D69" s="3" t="s">
        <v>44</v>
      </c>
      <c r="E69" s="1" t="s">
        <v>17</v>
      </c>
      <c r="F69" s="1">
        <v>1</v>
      </c>
      <c r="G69" s="1">
        <v>0</v>
      </c>
      <c r="H69" s="1" t="s">
        <v>15</v>
      </c>
      <c r="I69" s="1">
        <v>1</v>
      </c>
      <c r="J69" s="1">
        <f t="shared" si="0"/>
        <v>214</v>
      </c>
    </row>
    <row r="70" spans="1:10" x14ac:dyDescent="0.2">
      <c r="A70" s="7">
        <v>67</v>
      </c>
      <c r="B70" s="8" t="s">
        <v>80</v>
      </c>
      <c r="C70" s="8" t="s">
        <v>115</v>
      </c>
      <c r="D70" s="3" t="s">
        <v>44</v>
      </c>
      <c r="E70" s="1" t="s">
        <v>17</v>
      </c>
      <c r="F70" s="1">
        <v>1</v>
      </c>
      <c r="G70" s="1">
        <v>0</v>
      </c>
      <c r="H70" s="1" t="s">
        <v>15</v>
      </c>
      <c r="I70" s="1">
        <v>1</v>
      </c>
      <c r="J70" s="1">
        <f t="shared" si="0"/>
        <v>215</v>
      </c>
    </row>
    <row r="71" spans="1:10" ht="71.25" x14ac:dyDescent="0.2">
      <c r="A71" s="7">
        <v>68</v>
      </c>
      <c r="B71" s="8" t="s">
        <v>116</v>
      </c>
      <c r="C71" s="8" t="s">
        <v>146</v>
      </c>
      <c r="D71" s="3" t="s">
        <v>40</v>
      </c>
      <c r="E71" s="1"/>
      <c r="F71" s="1">
        <v>1</v>
      </c>
      <c r="G71" s="1">
        <v>0</v>
      </c>
      <c r="H71" s="1" t="s">
        <v>15</v>
      </c>
      <c r="I71" s="1">
        <v>1</v>
      </c>
      <c r="J71" s="1">
        <f t="shared" ref="J71:J72" si="1">J70+I70</f>
        <v>216</v>
      </c>
    </row>
    <row r="72" spans="1:10" ht="142.5" x14ac:dyDescent="0.2">
      <c r="A72" s="7">
        <v>69</v>
      </c>
      <c r="B72" s="8" t="s">
        <v>117</v>
      </c>
      <c r="C72" s="8" t="s">
        <v>32</v>
      </c>
      <c r="D72" s="3" t="s">
        <v>40</v>
      </c>
      <c r="E72" s="1"/>
      <c r="F72" s="1">
        <v>1</v>
      </c>
      <c r="G72" s="1">
        <v>0</v>
      </c>
      <c r="H72" s="1" t="s">
        <v>15</v>
      </c>
      <c r="I72" s="1">
        <v>1</v>
      </c>
      <c r="J72" s="1">
        <f t="shared" si="1"/>
        <v>217</v>
      </c>
    </row>
    <row r="73" spans="1:10" x14ac:dyDescent="0.2">
      <c r="B73" s="6" t="s">
        <v>20</v>
      </c>
      <c r="C73" s="3"/>
      <c r="D73" s="3"/>
      <c r="E73" s="1"/>
      <c r="F73" s="1"/>
      <c r="G73" s="1"/>
      <c r="H73" s="1"/>
      <c r="I73" s="1">
        <f>SUM(I3:I72)</f>
        <v>218</v>
      </c>
      <c r="J73" s="1"/>
    </row>
  </sheetData>
  <mergeCells count="2">
    <mergeCell ref="B1:J1"/>
    <mergeCell ref="C56:C5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ADS CAR_VRU SOP1_V1.1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2024-10-16T15:22:10Z</dcterms:modified>
</cp:coreProperties>
</file>