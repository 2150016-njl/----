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1630" tabRatio="600" firstSheet="0" activeTab="0" autoFilterDateGrouping="1"/>
  </bookViews>
  <sheets>
    <sheet xmlns:r="http://schemas.openxmlformats.org/officeDocument/2006/relationships" name="Polynomial Protocol" sheetId="1" state="visible" r:id="rId1"/>
    <sheet xmlns:r="http://schemas.openxmlformats.org/officeDocument/2006/relationships" name="Source Mapping" sheetId="2" state="visible" r:id="rId2"/>
  </sheets>
  <definedNames>
    <definedName name="_xlnm._FilterDatabase" localSheetId="0" hidden="1">'Polynomial Protocol'!$A$1:$I$20</definedName>
    <definedName name="_xlnm._FilterDatabase" localSheetId="1" hidden="1">'Source Mapping'!$A$1:$D$13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/>
      <top/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workbookViewId="0">
      <pane ySplit="1" topLeftCell="A6" activePane="bottomLeft" state="frozen"/>
      <selection activeCell="A1" sqref="A1"/>
      <selection pane="bottomLeft" activeCell="C14" sqref="C14"/>
    </sheetView>
  </sheetViews>
  <sheetFormatPr baseColWidth="8" defaultColWidth="9" defaultRowHeight="14"/>
  <cols>
    <col width="11.7" customWidth="1" min="1" max="1"/>
    <col width="17.3" customWidth="1" min="2" max="2"/>
    <col width="54" customWidth="1" min="3" max="3"/>
    <col width="10" customWidth="1" min="4" max="4"/>
    <col width="8.5" customWidth="1" min="5" max="6"/>
    <col width="13" customWidth="1" min="7" max="7"/>
    <col width="10" customWidth="1" min="8" max="8"/>
    <col width="15" customWidth="1" min="9" max="9"/>
  </cols>
  <sheetData>
    <row r="1" ht="28" customHeight="1">
      <c r="A1" s="3" t="inlineStr">
        <is>
          <t>Packet</t>
        </is>
      </c>
      <c r="B1" s="3" t="inlineStr">
        <is>
          <t>Data Package</t>
        </is>
      </c>
      <c r="C1" s="3" t="inlineStr">
        <is>
          <t>Description</t>
        </is>
      </c>
      <c r="D1" s="3" t="inlineStr">
        <is>
          <t>Unit</t>
        </is>
      </c>
      <c r="E1" s="3" t="inlineStr">
        <is>
          <t>Factor</t>
        </is>
      </c>
      <c r="F1" s="3" t="inlineStr">
        <is>
          <t>Offset</t>
        </is>
      </c>
      <c r="G1" s="3" t="inlineStr">
        <is>
          <t>Format</t>
        </is>
      </c>
      <c r="H1" s="3" t="inlineStr">
        <is>
          <t>Size/Byte</t>
        </is>
      </c>
      <c r="I1" s="3" t="inlineStr">
        <is>
          <t>UDP Pack 
offset/Byte</t>
        </is>
      </c>
    </row>
    <row r="2" ht="28" customHeight="1">
      <c r="A2" s="8" t="n"/>
      <c r="B2" s="8" t="inlineStr">
        <is>
          <t>UDP header</t>
        </is>
      </c>
      <c r="C2" s="8" t="n"/>
      <c r="D2" s="8" t="n"/>
      <c r="E2" s="8" t="n"/>
      <c r="F2" s="8" t="n"/>
      <c r="G2" s="8" t="n"/>
      <c r="H2" s="8" t="n">
        <v>42</v>
      </c>
      <c r="I2" s="8" t="n">
        <v>0</v>
      </c>
    </row>
    <row r="3" ht="28" customHeight="1">
      <c r="A3" s="5" t="inlineStr">
        <is>
          <t>Header</t>
        </is>
      </c>
      <c r="B3" s="8" t="inlineStr">
        <is>
          <t>Header</t>
        </is>
      </c>
      <c r="C3" s="8" t="inlineStr">
        <is>
          <t>0x7E 7E</t>
        </is>
      </c>
      <c r="D3" s="8" t="n"/>
      <c r="E3" s="8" t="n">
        <v>1</v>
      </c>
      <c r="F3" s="8" t="n">
        <v>0</v>
      </c>
      <c r="G3" s="8" t="inlineStr">
        <is>
          <t>uint16</t>
        </is>
      </c>
      <c r="H3" s="8" t="n">
        <v>2</v>
      </c>
      <c r="I3" s="8">
        <f>H2+I2</f>
        <v/>
      </c>
    </row>
    <row r="4" ht="28" customHeight="1">
      <c r="A4" s="6" t="n"/>
      <c r="B4" s="8" t="inlineStr">
        <is>
          <t>Sender</t>
        </is>
      </c>
      <c r="C4" s="8" t="inlineStr">
        <is>
          <t>10--Cloud</t>
        </is>
      </c>
      <c r="D4" s="8" t="n"/>
      <c r="E4" s="8" t="n">
        <v>1</v>
      </c>
      <c r="F4" s="8" t="n">
        <v>0</v>
      </c>
      <c r="G4" s="8" t="inlineStr">
        <is>
          <t>uint8</t>
        </is>
      </c>
      <c r="H4" s="8" t="n">
        <v>1</v>
      </c>
      <c r="I4" s="8">
        <f>H3+I3</f>
        <v/>
      </c>
    </row>
    <row r="5" ht="28" customHeight="1">
      <c r="A5" s="6" t="n"/>
      <c r="B5" s="8" t="inlineStr">
        <is>
          <t>Version</t>
        </is>
      </c>
      <c r="C5" s="8" t="inlineStr">
        <is>
          <t>0xF0</t>
        </is>
      </c>
      <c r="D5" s="8" t="n"/>
      <c r="E5" s="8" t="n">
        <v>1</v>
      </c>
      <c r="F5" s="8" t="n">
        <v>0</v>
      </c>
      <c r="G5" s="8" t="inlineStr">
        <is>
          <t>uint8</t>
        </is>
      </c>
      <c r="H5" s="8" t="n">
        <v>1</v>
      </c>
      <c r="I5" s="8">
        <f>H4+I4</f>
        <v/>
      </c>
    </row>
    <row r="6" ht="45" customHeight="1">
      <c r="A6" s="6" t="n"/>
      <c r="B6" s="8" t="inlineStr">
        <is>
          <t>Message ID</t>
        </is>
      </c>
      <c r="C6" s="8" t="inlineStr">
        <is>
          <t>Cloud
5-Cloud to Target Polynomial Coefficients</t>
        </is>
      </c>
      <c r="D6" s="8" t="n"/>
      <c r="E6" s="8" t="n">
        <v>1</v>
      </c>
      <c r="F6" s="8" t="n">
        <v>0</v>
      </c>
      <c r="G6" s="8" t="inlineStr">
        <is>
          <t>uint8</t>
        </is>
      </c>
      <c r="H6" s="8" t="n">
        <v>1</v>
      </c>
      <c r="I6" s="8">
        <f>H5+I5</f>
        <v/>
      </c>
    </row>
    <row r="7" ht="28" customHeight="1">
      <c r="A7" s="6" t="n"/>
      <c r="B7" s="8" t="inlineStr">
        <is>
          <t>Counter</t>
        </is>
      </c>
      <c r="C7" s="8" t="inlineStr">
        <is>
          <t>0-255</t>
        </is>
      </c>
      <c r="D7" s="8" t="n"/>
      <c r="E7" s="8" t="n">
        <v>1</v>
      </c>
      <c r="F7" s="8" t="n">
        <v>0</v>
      </c>
      <c r="G7" s="8" t="inlineStr">
        <is>
          <t>uint8</t>
        </is>
      </c>
      <c r="H7" s="8" t="n">
        <v>1</v>
      </c>
      <c r="I7" s="8">
        <f>H6+I6</f>
        <v/>
      </c>
    </row>
    <row r="8" ht="28" customHeight="1">
      <c r="A8" s="7" t="n"/>
      <c r="B8" s="8" t="inlineStr">
        <is>
          <t>coef_num</t>
        </is>
      </c>
      <c r="C8" s="8" t="inlineStr">
        <is>
          <t>Polynomial coefficient total number (=11)</t>
        </is>
      </c>
      <c r="D8" s="8" t="n"/>
      <c r="E8" s="8" t="n">
        <v>1</v>
      </c>
      <c r="F8" s="8" t="n">
        <v>0</v>
      </c>
      <c r="G8" s="8" t="inlineStr">
        <is>
          <t>uint16</t>
        </is>
      </c>
      <c r="H8" s="8" t="n">
        <v>2</v>
      </c>
      <c r="I8" s="8">
        <f>H7+I7</f>
        <v/>
      </c>
    </row>
    <row r="9" ht="42" customHeight="1">
      <c r="A9" s="5" t="inlineStr">
        <is>
          <t>Lateral Quintic</t>
        </is>
      </c>
      <c r="B9" s="8" t="inlineStr">
        <is>
          <t>d_a0</t>
        </is>
      </c>
      <c r="C9" s="8" t="inlineStr">
        <is>
          <t>Coefficient a0 of d(t)=a0+a1*t+a2*t^2+a3*t^3+a4*t^4+a5*t^5</t>
        </is>
      </c>
      <c r="D9" s="8" t="inlineStr">
        <is>
          <t>m</t>
        </is>
      </c>
      <c r="E9" s="8" t="n">
        <v>1</v>
      </c>
      <c r="F9" s="8" t="n">
        <v>0</v>
      </c>
      <c r="G9" s="8" t="inlineStr">
        <is>
          <t>single float</t>
        </is>
      </c>
      <c r="H9" s="8" t="n">
        <v>4</v>
      </c>
      <c r="I9" s="8">
        <f>H8+I8</f>
        <v/>
      </c>
    </row>
    <row r="10" ht="28" customHeight="1">
      <c r="A10" s="6" t="n"/>
      <c r="B10" s="8" t="inlineStr">
        <is>
          <t>d_a1</t>
        </is>
      </c>
      <c r="C10" s="8" t="inlineStr">
        <is>
          <t>Coefficient a1 of lateral quintic polynomial d(t)</t>
        </is>
      </c>
      <c r="D10" s="8" t="inlineStr">
        <is>
          <t>m/s</t>
        </is>
      </c>
      <c r="E10" s="8" t="n">
        <v>1</v>
      </c>
      <c r="F10" s="8" t="n">
        <v>0</v>
      </c>
      <c r="G10" s="8" t="inlineStr">
        <is>
          <t>single float</t>
        </is>
      </c>
      <c r="H10" s="8" t="n">
        <v>4</v>
      </c>
      <c r="I10" s="8">
        <f>H9+I9</f>
        <v/>
      </c>
    </row>
    <row r="11" ht="28" customHeight="1">
      <c r="A11" s="6" t="n"/>
      <c r="B11" s="8" t="inlineStr">
        <is>
          <t>d_a2</t>
        </is>
      </c>
      <c r="C11" s="8" t="inlineStr">
        <is>
          <t>Coefficient a2 of lateral quintic polynomial d(t)</t>
        </is>
      </c>
      <c r="D11" s="8" t="inlineStr">
        <is>
          <t>m/s^2</t>
        </is>
      </c>
      <c r="E11" s="8" t="n">
        <v>1</v>
      </c>
      <c r="F11" s="8" t="n">
        <v>0</v>
      </c>
      <c r="G11" s="8" t="inlineStr">
        <is>
          <t>single float</t>
        </is>
      </c>
      <c r="H11" s="8" t="n">
        <v>4</v>
      </c>
      <c r="I11" s="8">
        <f>H10+I10</f>
        <v/>
      </c>
    </row>
    <row r="12" ht="28" customHeight="1">
      <c r="A12" s="6" t="n"/>
      <c r="B12" s="8" t="inlineStr">
        <is>
          <t>d_a3</t>
        </is>
      </c>
      <c r="C12" s="8" t="inlineStr">
        <is>
          <t>Coefficient a3 of lateral quintic polynomial d(t)</t>
        </is>
      </c>
      <c r="D12" s="8" t="inlineStr">
        <is>
          <t>m/s^3</t>
        </is>
      </c>
      <c r="E12" s="8" t="n">
        <v>1</v>
      </c>
      <c r="F12" s="8" t="n">
        <v>0</v>
      </c>
      <c r="G12" s="8" t="inlineStr">
        <is>
          <t>single float</t>
        </is>
      </c>
      <c r="H12" s="8" t="n">
        <v>4</v>
      </c>
      <c r="I12" s="8">
        <f>H11+I11</f>
        <v/>
      </c>
    </row>
    <row r="13" ht="28" customHeight="1">
      <c r="A13" s="6" t="n"/>
      <c r="B13" s="8" t="inlineStr">
        <is>
          <t>d_a4</t>
        </is>
      </c>
      <c r="C13" s="8" t="inlineStr">
        <is>
          <t>Coefficient a4 of lateral quintic polynomial d(t)</t>
        </is>
      </c>
      <c r="D13" s="8" t="inlineStr">
        <is>
          <t>m/s^4</t>
        </is>
      </c>
      <c r="E13" s="8" t="n">
        <v>1</v>
      </c>
      <c r="F13" s="8" t="n">
        <v>0</v>
      </c>
      <c r="G13" s="8" t="inlineStr">
        <is>
          <t>single float</t>
        </is>
      </c>
      <c r="H13" s="8" t="n">
        <v>4</v>
      </c>
      <c r="I13" s="8">
        <f>H12+I12</f>
        <v/>
      </c>
    </row>
    <row r="14" ht="28" customHeight="1">
      <c r="A14" s="7" t="n"/>
      <c r="B14" s="8" t="inlineStr">
        <is>
          <t>d_a5</t>
        </is>
      </c>
      <c r="C14" s="8" t="inlineStr">
        <is>
          <t>Coefficient a5 of lateral quintic polynomial d(t)</t>
        </is>
      </c>
      <c r="D14" s="8" t="inlineStr">
        <is>
          <t>m/s^5</t>
        </is>
      </c>
      <c r="E14" s="8" t="n">
        <v>1</v>
      </c>
      <c r="F14" s="8" t="n">
        <v>0</v>
      </c>
      <c r="G14" s="8" t="inlineStr">
        <is>
          <t>single float</t>
        </is>
      </c>
      <c r="H14" s="8" t="n">
        <v>4</v>
      </c>
      <c r="I14" s="8">
        <f>H13+I13</f>
        <v/>
      </c>
    </row>
    <row r="15" ht="42" customHeight="1">
      <c r="A15" s="5" t="inlineStr">
        <is>
          <t>Longitudinal Quartic</t>
        </is>
      </c>
      <c r="B15" s="8" t="inlineStr">
        <is>
          <t>s_a0</t>
        </is>
      </c>
      <c r="C15" s="8" t="inlineStr">
        <is>
          <t>Coefficient a0 of s(t)=a0+a1*t+a2*t^2+a3*t^3+a4*t^4</t>
        </is>
      </c>
      <c r="D15" s="8" t="inlineStr">
        <is>
          <t>m</t>
        </is>
      </c>
      <c r="E15" s="8" t="n">
        <v>1</v>
      </c>
      <c r="F15" s="8" t="n">
        <v>0</v>
      </c>
      <c r="G15" s="8" t="inlineStr">
        <is>
          <t>single float</t>
        </is>
      </c>
      <c r="H15" s="8" t="n">
        <v>4</v>
      </c>
      <c r="I15" s="8">
        <f>H14+I14</f>
        <v/>
      </c>
    </row>
    <row r="16" ht="28" customHeight="1">
      <c r="A16" s="6" t="n"/>
      <c r="B16" s="8" t="inlineStr">
        <is>
          <t>s_a1</t>
        </is>
      </c>
      <c r="C16" s="8" t="inlineStr">
        <is>
          <t>Coefficient a1 of longitudinal quartic polynomial s(t)</t>
        </is>
      </c>
      <c r="D16" s="8" t="inlineStr">
        <is>
          <t>m/s</t>
        </is>
      </c>
      <c r="E16" s="8" t="n">
        <v>1</v>
      </c>
      <c r="F16" s="8" t="n">
        <v>0</v>
      </c>
      <c r="G16" s="8" t="inlineStr">
        <is>
          <t>single float</t>
        </is>
      </c>
      <c r="H16" s="8" t="n">
        <v>4</v>
      </c>
      <c r="I16" s="8">
        <f>H15+I15</f>
        <v/>
      </c>
    </row>
    <row r="17" ht="28" customHeight="1">
      <c r="A17" s="6" t="n"/>
      <c r="B17" s="8" t="inlineStr">
        <is>
          <t>s_a2</t>
        </is>
      </c>
      <c r="C17" s="8" t="inlineStr">
        <is>
          <t>Coefficient a2 of longitudinal quartic polynomial s(t)</t>
        </is>
      </c>
      <c r="D17" s="8" t="inlineStr">
        <is>
          <t>m/s^2</t>
        </is>
      </c>
      <c r="E17" s="8" t="n">
        <v>1</v>
      </c>
      <c r="F17" s="8" t="n">
        <v>0</v>
      </c>
      <c r="G17" s="8" t="inlineStr">
        <is>
          <t>single float</t>
        </is>
      </c>
      <c r="H17" s="8" t="n">
        <v>4</v>
      </c>
      <c r="I17" s="8">
        <f>H16+I16</f>
        <v/>
      </c>
    </row>
    <row r="18" ht="28" customHeight="1">
      <c r="A18" s="6" t="n"/>
      <c r="B18" s="8" t="inlineStr">
        <is>
          <t>s_a3</t>
        </is>
      </c>
      <c r="C18" s="8" t="inlineStr">
        <is>
          <t>Coefficient a3 of longitudinal quartic polynomial s(t)</t>
        </is>
      </c>
      <c r="D18" s="8" t="inlineStr">
        <is>
          <t>m/s^3</t>
        </is>
      </c>
      <c r="E18" s="8" t="n">
        <v>1</v>
      </c>
      <c r="F18" s="8" t="n">
        <v>0</v>
      </c>
      <c r="G18" s="8" t="inlineStr">
        <is>
          <t>single float</t>
        </is>
      </c>
      <c r="H18" s="8" t="n">
        <v>4</v>
      </c>
      <c r="I18" s="8">
        <f>H17+I17</f>
        <v/>
      </c>
    </row>
    <row r="19" ht="28" customHeight="1">
      <c r="A19" s="7" t="n"/>
      <c r="B19" s="8" t="inlineStr">
        <is>
          <t>s_a4</t>
        </is>
      </c>
      <c r="C19" s="8" t="inlineStr">
        <is>
          <t>Coefficient a4 of longitudinal quartic polynomial s(t)</t>
        </is>
      </c>
      <c r="D19" s="8" t="inlineStr">
        <is>
          <t>m/s^4</t>
        </is>
      </c>
      <c r="E19" s="8" t="n">
        <v>1</v>
      </c>
      <c r="F19" s="8" t="n">
        <v>0</v>
      </c>
      <c r="G19" s="8" t="inlineStr">
        <is>
          <t>single float</t>
        </is>
      </c>
      <c r="H19" s="8" t="n">
        <v>4</v>
      </c>
      <c r="I19" s="8">
        <f>H18+I18</f>
        <v/>
      </c>
    </row>
    <row r="20" ht="28" customHeight="1">
      <c r="A20" s="5" t="inlineStr">
        <is>
          <t>Total</t>
        </is>
      </c>
      <c r="B20" s="5" t="inlineStr">
        <is>
          <t>Packet length</t>
        </is>
      </c>
      <c r="C20" s="8" t="inlineStr">
        <is>
          <t>Fixed size: 42 Byte UDP/IP header + 8 Byte app header + 11*4 Byte coefficients</t>
        </is>
      </c>
      <c r="D20" s="8" t="inlineStr">
        <is>
          <t>Byte</t>
        </is>
      </c>
      <c r="E20" s="8" t="n">
        <v>1</v>
      </c>
      <c r="F20" s="8" t="n">
        <v>0</v>
      </c>
      <c r="G20" s="8" t="n"/>
      <c r="H20" s="8" t="n"/>
      <c r="I20" s="5">
        <f>H19+I19</f>
        <v/>
      </c>
    </row>
  </sheetData>
  <autoFilter ref="A1:I20"/>
  <mergeCells count="3">
    <mergeCell ref="A3:A8"/>
    <mergeCell ref="A15:A19"/>
    <mergeCell ref="A9: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24" customWidth="1" min="1" max="1"/>
    <col width="34" customWidth="1" min="2" max="2"/>
    <col width="92" customWidth="1" min="3" max="3"/>
    <col width="48" customWidth="1" min="4" max="4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Source / Formula</t>
        </is>
      </c>
      <c r="D1" s="1" t="inlineStr">
        <is>
          <t>Notes</t>
        </is>
      </c>
    </row>
    <row r="2" ht="48" customHeight="1">
      <c r="A2" s="2" t="inlineStr">
        <is>
          <t>Source file</t>
        </is>
      </c>
      <c r="B2" s="2" t="inlineStr">
        <is>
          <t>geely/src/rl_planning_geely/scripts/agents/local_planner/frenet_optimal_trajectory.py</t>
        </is>
      </c>
      <c r="C2" s="2" t="inlineStr"/>
      <c r="D2" s="2" t="inlineStr">
        <is>
          <t>Core Frenet trajectory planner.</t>
        </is>
      </c>
    </row>
    <row r="3" ht="48" customHeight="1">
      <c r="A3" s="2" t="inlineStr">
        <is>
          <t>Lateral polynomial</t>
        </is>
      </c>
      <c r="B3" s="2" t="inlineStr">
        <is>
          <t>d_a0..d_a5</t>
        </is>
      </c>
      <c r="C3" s="2" t="inlineStr">
        <is>
          <t>quintic_polynomial, lines 168-204; lat_qp = quintic_polynomial(d, d_d, d_dd, df/di, 0.0, 0.0, Tf/Ti)</t>
        </is>
      </c>
      <c r="D3" s="2" t="inlineStr">
        <is>
          <t>6 parameters. End lateral velocity and acceleration are fixed to 0.</t>
        </is>
      </c>
    </row>
    <row r="4" ht="48" customHeight="1">
      <c r="A4" s="2" t="inlineStr">
        <is>
          <t>Longitudinal polynomial</t>
        </is>
      </c>
      <c r="B4" s="2" t="inlineStr">
        <is>
          <t>s_a0..s_a4</t>
        </is>
      </c>
      <c r="C4" s="2" t="inlineStr">
        <is>
          <t>quartic_polynomial, lines 225-250; lon_qp = quartic_polynomial(s, s_d, s_dd, Vf/tv, 0.0, Tf/Ti)</t>
        </is>
      </c>
      <c r="D4" s="2" t="inlineStr">
        <is>
          <t>5 parameters. End longitudinal acceleration is fixed to 0.</t>
        </is>
      </c>
    </row>
    <row r="5" ht="48" customHeight="1">
      <c r="A5" s="2" t="inlineStr">
        <is>
          <t>Decode rule</t>
        </is>
      </c>
      <c r="B5" s="2" t="inlineStr">
        <is>
          <t>physical_value = raw * Factor + Offset</t>
        </is>
      </c>
      <c r="C5" s="2" t="inlineStr">
        <is>
          <t>This protocol uses single float, Factor=1, Offset=0.</t>
        </is>
      </c>
      <c r="D5" s="2" t="inlineStr">
        <is>
          <t>Use float32. No fixed-point scaling is applied.</t>
        </is>
      </c>
    </row>
    <row r="6" ht="48" customHeight="1">
      <c r="A6" s="2" t="inlineStr">
        <is>
          <t>Lateral reconstruction</t>
        </is>
      </c>
      <c r="B6" s="2" t="inlineStr">
        <is>
          <t>d(t)</t>
        </is>
      </c>
      <c r="C6" s="2" t="inlineStr">
        <is>
          <t>d(t)=d_a0+d_a1*t+d_a2*t^2+d_a3*t^3+d_a4*t^4+d_a5*t^5</t>
        </is>
      </c>
      <c r="D6" s="2" t="inlineStr">
        <is>
          <t>t is seconds from trajectory start.</t>
        </is>
      </c>
    </row>
    <row r="7" ht="48" customHeight="1">
      <c r="A7" s="2" t="inlineStr">
        <is>
          <t>Longitudinal reconstruction</t>
        </is>
      </c>
      <c r="B7" s="2" t="inlineStr">
        <is>
          <t>s(t)</t>
        </is>
      </c>
      <c r="C7" s="2" t="inlineStr">
        <is>
          <t>s(t)=s_a0+s_a1*t+s_a2*t^2+s_a3*t^3+s_a4*t^4</t>
        </is>
      </c>
      <c r="D7" s="2" t="inlineStr">
        <is>
          <t>t is seconds from trajectory start.</t>
        </is>
      </c>
    </row>
    <row r="8" ht="48" customHeight="1">
      <c r="A8" s="2" t="inlineStr">
        <is>
          <t>Derivatives</t>
        </is>
      </c>
      <c r="B8" s="2" t="inlineStr">
        <is>
          <t>d_dot, d_ddot, s_dot, s_ddot</t>
        </is>
      </c>
      <c r="C8" s="2" t="inlineStr">
        <is>
          <t>Use analytic derivatives from calc_first_derivative/calc_second_derivative.</t>
        </is>
      </c>
      <c r="D8" s="2" t="inlineStr">
        <is>
          <t>s_dot maps to longitudinal speed in Frenet frame.</t>
        </is>
      </c>
    </row>
    <row r="9" ht="48" customHeight="1">
      <c r="A9" s="2" t="inlineStr">
        <is>
          <t>Global conversion</t>
        </is>
      </c>
      <c r="B9" s="2" t="inlineStr">
        <is>
          <t>x, y</t>
        </is>
      </c>
      <c r="C9" s="2" t="inlineStr">
        <is>
          <t>x=ix+d*cos(iyaw+pi/2); y=iy+d*sin(iyaw+pi/2), where ix/iy/iyaw come from reference CSP at s(t).</t>
        </is>
      </c>
      <c r="D9" s="2" t="inlineStr">
        <is>
          <t>Matches frenet_to_inertial, lines 131-143.</t>
        </is>
      </c>
    </row>
    <row r="10" ht="48" customHeight="1">
      <c r="A10" s="2" t="inlineStr">
        <is>
          <t>Existing sampled ROS output</t>
        </is>
      </c>
      <c r="B10" s="2" t="inlineStr">
        <is>
          <t>/RL_Planning_Path</t>
        </is>
      </c>
      <c r="C10" s="2" t="inlineStr">
        <is>
          <t>RLPlanningPath.msg: fx[500], fy[500], v[500], a[500], theta[500], kappa[500], s[500]</t>
        </is>
      </c>
      <c r="D10" s="2" t="inlineStr">
        <is>
          <t>control_transfer converts it to /planning/ADCTrajectory.</t>
        </is>
      </c>
    </row>
    <row r="11" ht="48" customHeight="1">
      <c r="A11" s="2" t="inlineStr">
        <is>
          <t>Planner sampling</t>
        </is>
      </c>
      <c r="B11" s="2" t="inlineStr">
        <is>
          <t>self.dt = 0.1 in FrenetPlanner.__init__</t>
        </is>
      </c>
      <c r="C11" s="2" t="inlineStr">
        <is>
          <t>Single path uses fp.t = np.arange(0.0, Tf, self.dt).</t>
        </is>
      </c>
      <c r="D11" s="2" t="inlineStr">
        <is>
          <t>Receiver may choose its own sampling step if both sides agree.</t>
        </is>
      </c>
    </row>
    <row r="12" ht="48" customHeight="1">
      <c r="A12" s="2" t="inlineStr">
        <is>
          <t>Packet size</t>
        </is>
      </c>
      <c r="B12" s="2" t="inlineStr">
        <is>
          <t>94 Byte</t>
        </is>
      </c>
      <c r="C12" s="2" t="inlineStr">
        <is>
          <t>42 UDP/IP + 8 app header + 11*4 coefficient payload</t>
        </is>
      </c>
      <c r="D12" s="2" t="inlineStr">
        <is>
          <t>Fixed length, no trajectory point loop.</t>
        </is>
      </c>
    </row>
    <row r="13" ht="48" customHeight="1">
      <c r="A13" s="2" t="inlineStr">
        <is>
          <t>Byte order</t>
        </is>
      </c>
      <c r="B13" s="2" t="inlineStr">
        <is>
          <t>Big-endian / network byte order recommended</t>
        </is>
      </c>
      <c r="C13" s="2" t="inlineStr">
        <is>
          <t>Existing GNSS UDP decoder uses struct.unpack('&gt;...'); for coefficients use struct.pack/unpack('&gt;f').</t>
        </is>
      </c>
      <c r="D13" s="2" t="inlineStr">
        <is>
          <t>Treat as an implementation convention and keep sender/receiver consistent.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2026-06-09T03:27:00Z</dcterms:created>
  <dcterms:modified xmlns:dcterms="http://purl.org/dc/terms/" xmlns:xsi="http://www.w3.org/2001/XMLSchema-instance" xsi:type="dcterms:W3CDTF">2026-06-09T07:38:39Z</dcterms:modified>
  <cp:lastModifiedBy>精灵副将马国成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A6AE59228EA2499C92F3BA93E2E79715_12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